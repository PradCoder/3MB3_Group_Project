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N/Desktop/"/>
    </mc:Choice>
  </mc:AlternateContent>
  <xr:revisionPtr revIDLastSave="0" documentId="13_ncr:1_{D021FFCD-0FF3-144B-95A4-5EB6E662F983}" xr6:coauthVersionLast="47" xr6:coauthVersionMax="47" xr10:uidLastSave="{00000000-0000-0000-0000-000000000000}"/>
  <bookViews>
    <workbookView xWindow="1960" yWindow="500" windowWidth="28800" windowHeight="16280" xr2:uid="{00000000-000D-0000-FFFF-FFFF00000000}"/>
  </bookViews>
  <sheets>
    <sheet name="Regression" sheetId="12" r:id="rId1"/>
    <sheet name="Constant (2023) US$" sheetId="5" r:id="rId2"/>
  </sheets>
  <definedNames>
    <definedName name="ExternalData_1" localSheetId="0" hidden="1">Regression!$A$1:$B$80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2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C5" i="12"/>
  <c r="C4" i="12"/>
  <c r="C3" i="12"/>
  <c r="C2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C85" i="5"/>
  <c r="CC87" i="5"/>
  <c r="CL85" i="5"/>
  <c r="CD85" i="5"/>
  <c r="CE85" i="5"/>
  <c r="CF85" i="5"/>
  <c r="CG85" i="5"/>
  <c r="CH85" i="5"/>
  <c r="CI85" i="5"/>
  <c r="CJ85" i="5"/>
  <c r="CK85" i="5"/>
  <c r="CC83" i="5"/>
  <c r="CC78" i="5"/>
  <c r="CD78" i="5"/>
  <c r="CE78" i="5"/>
  <c r="CF78" i="5"/>
  <c r="CG78" i="5"/>
  <c r="CH78" i="5"/>
  <c r="CI78" i="5"/>
  <c r="CJ78" i="5"/>
  <c r="CK78" i="5"/>
  <c r="CL78" i="5"/>
  <c r="CC77" i="5"/>
  <c r="CC81" i="5" s="1"/>
  <c r="CD77" i="5"/>
  <c r="CD81" i="5" s="1"/>
  <c r="CE77" i="5"/>
  <c r="CE81" i="5" s="1"/>
  <c r="CF77" i="5"/>
  <c r="CF81" i="5" s="1"/>
  <c r="CG77" i="5"/>
  <c r="CG81" i="5" s="1"/>
  <c r="CH77" i="5"/>
  <c r="CI77" i="5"/>
  <c r="CJ77" i="5"/>
  <c r="CK77" i="5"/>
  <c r="CK81" i="5" s="1"/>
  <c r="CL77" i="5"/>
  <c r="CL81" i="5" s="1"/>
  <c r="T2" i="5"/>
  <c r="T3" i="5"/>
  <c r="CH81" i="5" l="1"/>
  <c r="CJ81" i="5"/>
  <c r="CI8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6E963-A4CE-F34B-8A07-2830310BDDA0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B6B416F5-40A4-F04B-A954-767E34610431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</connections>
</file>

<file path=xl/sharedStrings.xml><?xml version="1.0" encoding="utf-8"?>
<sst xmlns="http://schemas.openxmlformats.org/spreadsheetml/2006/main" count="5279" uniqueCount="323">
  <si>
    <t>†</t>
  </si>
  <si>
    <t>‡</t>
  </si>
  <si>
    <t>§</t>
  </si>
  <si>
    <t>¶</t>
  </si>
  <si>
    <t>‖</t>
  </si>
  <si>
    <t/>
  </si>
  <si>
    <t>...</t>
  </si>
  <si>
    <t>Africa</t>
  </si>
  <si>
    <t>North Africa</t>
  </si>
  <si>
    <t>sub-Saharan Africa</t>
  </si>
  <si>
    <t>Americas</t>
  </si>
  <si>
    <t>Cuba</t>
  </si>
  <si>
    <t>Central America and the Caribbean</t>
  </si>
  <si>
    <t>North America</t>
  </si>
  <si>
    <t>South America</t>
  </si>
  <si>
    <t>Asia &amp; Oceania</t>
  </si>
  <si>
    <t>Oceania</t>
  </si>
  <si>
    <t>South Asia</t>
  </si>
  <si>
    <t>East Asia</t>
  </si>
  <si>
    <t>South East Asia</t>
  </si>
  <si>
    <t>Central Asia</t>
  </si>
  <si>
    <t>Europe</t>
  </si>
  <si>
    <t>Yugoslavia</t>
  </si>
  <si>
    <t>Central Europe</t>
  </si>
  <si>
    <t>Eastern Europe</t>
  </si>
  <si>
    <t>Western Europe</t>
  </si>
  <si>
    <t>Middle East</t>
  </si>
  <si>
    <t>Figures in blue are SIPRI estimates. Figures in red indicate highly uncertain data.</t>
  </si>
  <si>
    <t>". ." = data unavailable. "xxx" = country did not exist or was not independent during all or part of the year in question.</t>
  </si>
  <si>
    <t>Country</t>
  </si>
  <si>
    <t>Notes</t>
  </si>
  <si>
    <t>Algeria</t>
  </si>
  <si>
    <t>§4</t>
  </si>
  <si>
    <t>Libya</t>
  </si>
  <si>
    <t>‡§¶16</t>
  </si>
  <si>
    <t>Morocco</t>
  </si>
  <si>
    <t>§17</t>
  </si>
  <si>
    <t>Tunisia</t>
  </si>
  <si>
    <t>Angola</t>
  </si>
  <si>
    <t>§‖1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</si>
  <si>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</si>
  <si>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</si>
  <si>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</si>
  <si>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</si>
  <si>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</si>
  <si>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</si>
  <si>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</si>
  <si>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14</t>
  </si>
  <si>
    <t>Chad</t>
  </si>
  <si>
    <t>Congo, DR</t>
  </si>
  <si>
    <t>§15</t>
  </si>
  <si>
    <t>Congo, Republic</t>
  </si>
  <si>
    <t>Cote d'Ivoire</t>
  </si>
  <si>
    <t>18</t>
  </si>
  <si>
    <t>Djibouti</t>
  </si>
  <si>
    <t>Equatorial Guinea</t>
  </si>
  <si>
    <t>Eritrea</t>
  </si>
  <si>
    <t>§‖19</t>
  </si>
  <si>
    <t>Ethiopia</t>
  </si>
  <si>
    <t>Gabon</t>
  </si>
  <si>
    <t>§20</t>
  </si>
  <si>
    <t>Gambia, The</t>
  </si>
  <si>
    <t>‡§21</t>
  </si>
  <si>
    <t>Ghana</t>
  </si>
  <si>
    <t>‖22</t>
  </si>
  <si>
    <t>Guinea</t>
  </si>
  <si>
    <t>23</t>
  </si>
  <si>
    <t>Guinea-Bissau</t>
  </si>
  <si>
    <t>‖24</t>
  </si>
  <si>
    <t>Kenya</t>
  </si>
  <si>
    <t>Lesotho</t>
  </si>
  <si>
    <t>Liberia</t>
  </si>
  <si>
    <t>25</t>
  </si>
  <si>
    <t>Madagascar</t>
  </si>
  <si>
    <t>‖26</t>
  </si>
  <si>
    <t>Malawi</t>
  </si>
  <si>
    <t>Mali</t>
  </si>
  <si>
    <t>Mauritania</t>
  </si>
  <si>
    <t>Mauritius</t>
  </si>
  <si>
    <t>Mozambique</t>
  </si>
  <si>
    <t>‖27</t>
  </si>
  <si>
    <t>Namibia</t>
  </si>
  <si>
    <t>Niger</t>
  </si>
  <si>
    <t>Nigeria</t>
  </si>
  <si>
    <t>§28</t>
  </si>
  <si>
    <t>Rwanda</t>
  </si>
  <si>
    <t>29</t>
  </si>
  <si>
    <t>Senegal</t>
  </si>
  <si>
    <t>§30</t>
  </si>
  <si>
    <t>Seychelles</t>
  </si>
  <si>
    <t>Sierra Leone</t>
  </si>
  <si>
    <t>31</t>
  </si>
  <si>
    <t>Somalia</t>
  </si>
  <si>
    <t>32</t>
  </si>
  <si>
    <t>South Africa</t>
  </si>
  <si>
    <t>South Sudan</t>
  </si>
  <si>
    <t>33</t>
  </si>
  <si>
    <t>Sudan</t>
  </si>
  <si>
    <t>§‖34</t>
  </si>
  <si>
    <t>Eswatini</t>
  </si>
  <si>
    <t>‡35</t>
  </si>
  <si>
    <t>Tanzania</t>
  </si>
  <si>
    <t>Togo</t>
  </si>
  <si>
    <t>Uganda</t>
  </si>
  <si>
    <t>Zambia</t>
  </si>
  <si>
    <t>Zimbabwe</t>
  </si>
  <si>
    <t>§‖36</t>
  </si>
  <si>
    <t>Belize</t>
  </si>
  <si>
    <t>Costa Rica</t>
  </si>
  <si>
    <t>37</t>
  </si>
  <si>
    <t>§38</t>
  </si>
  <si>
    <t>Dominican Republic</t>
  </si>
  <si>
    <t>El Salvador</t>
  </si>
  <si>
    <t>39</t>
  </si>
  <si>
    <t>Guatemala</t>
  </si>
  <si>
    <t>Haiti</t>
  </si>
  <si>
    <t>§40</t>
  </si>
  <si>
    <t>Honduras</t>
  </si>
  <si>
    <t>41</t>
  </si>
  <si>
    <t>Jamaica</t>
  </si>
  <si>
    <t>Mexico</t>
  </si>
  <si>
    <t>Nicaragua</t>
  </si>
  <si>
    <t>42</t>
  </si>
  <si>
    <t>Panama</t>
  </si>
  <si>
    <t>43</t>
  </si>
  <si>
    <t>Trinidad and Tobago</t>
  </si>
  <si>
    <t>Canada</t>
  </si>
  <si>
    <t>United States of America</t>
  </si>
  <si>
    <t>44</t>
  </si>
  <si>
    <t>Argentina</t>
  </si>
  <si>
    <t>5</t>
  </si>
  <si>
    <t>Bolivia</t>
  </si>
  <si>
    <t>10</t>
  </si>
  <si>
    <t>Brazil</t>
  </si>
  <si>
    <t>Chile</t>
  </si>
  <si>
    <t>45</t>
  </si>
  <si>
    <t>Colombia</t>
  </si>
  <si>
    <t>46</t>
  </si>
  <si>
    <t>Ecuador</t>
  </si>
  <si>
    <t>47</t>
  </si>
  <si>
    <t>Guyana</t>
  </si>
  <si>
    <t>48</t>
  </si>
  <si>
    <t>Paraguay</t>
  </si>
  <si>
    <t>49</t>
  </si>
  <si>
    <t>Peru</t>
  </si>
  <si>
    <t>50</t>
  </si>
  <si>
    <t>Uruguay</t>
  </si>
  <si>
    <t>Venezuela</t>
  </si>
  <si>
    <t>‖51</t>
  </si>
  <si>
    <t>Australia</t>
  </si>
  <si>
    <t>Fiji</t>
  </si>
  <si>
    <t>†68</t>
  </si>
  <si>
    <t>New Zealand</t>
  </si>
  <si>
    <t>Papua New Guinea</t>
  </si>
  <si>
    <t>¶69</t>
  </si>
  <si>
    <t>Afghanistan</t>
  </si>
  <si>
    <t>2</t>
  </si>
  <si>
    <t>Bangladesh</t>
  </si>
  <si>
    <t>9</t>
  </si>
  <si>
    <t>India</t>
  </si>
  <si>
    <t>59</t>
  </si>
  <si>
    <t>Nepal</t>
  </si>
  <si>
    <t>Pakistan</t>
  </si>
  <si>
    <t>60</t>
  </si>
  <si>
    <t>Sri Lanka</t>
  </si>
  <si>
    <t>61</t>
  </si>
  <si>
    <t>China</t>
  </si>
  <si>
    <t>55</t>
  </si>
  <si>
    <t>Japan</t>
  </si>
  <si>
    <t>56</t>
  </si>
  <si>
    <t>Korea, North</t>
  </si>
  <si>
    <t>57</t>
  </si>
  <si>
    <t>Korea, South</t>
  </si>
  <si>
    <t>58</t>
  </si>
  <si>
    <t>Mongolia</t>
  </si>
  <si>
    <t>Taiwan</t>
  </si>
  <si>
    <t>†¶104</t>
  </si>
  <si>
    <t>Brunei</t>
  </si>
  <si>
    <t>§12</t>
  </si>
  <si>
    <t>Cambodia</t>
  </si>
  <si>
    <t>Indonesia</t>
  </si>
  <si>
    <t>62</t>
  </si>
  <si>
    <t>Laos</t>
  </si>
  <si>
    <t>Malaysia</t>
  </si>
  <si>
    <t>63</t>
  </si>
  <si>
    <t>Myanmar</t>
  </si>
  <si>
    <t>§¶64</t>
  </si>
  <si>
    <t>Philippines</t>
  </si>
  <si>
    <t>65</t>
  </si>
  <si>
    <t>Singapore</t>
  </si>
  <si>
    <t>Thailand</t>
  </si>
  <si>
    <t>Timor Leste</t>
  </si>
  <si>
    <t>§66</t>
  </si>
  <si>
    <t>Viet Nam</t>
  </si>
  <si>
    <t>§67</t>
  </si>
  <si>
    <t>Kazakhstan</t>
  </si>
  <si>
    <t>Kyrgyz Republic</t>
  </si>
  <si>
    <t>52</t>
  </si>
  <si>
    <t>Tajikistan</t>
  </si>
  <si>
    <t>Turkmenistan</t>
  </si>
  <si>
    <t>§53</t>
  </si>
  <si>
    <t>Uzbekistan</t>
  </si>
  <si>
    <t>§54</t>
  </si>
  <si>
    <t>Albania</t>
  </si>
  <si>
    <t>§¶3</t>
  </si>
  <si>
    <t>Bosnia and Herzegovina</t>
  </si>
  <si>
    <t>†§¶11</t>
  </si>
  <si>
    <t>Bulgaria</t>
  </si>
  <si>
    <t>†13</t>
  </si>
  <si>
    <t>Croatia</t>
  </si>
  <si>
    <t>70</t>
  </si>
  <si>
    <t>Czechia</t>
  </si>
  <si>
    <t>71</t>
  </si>
  <si>
    <t>Czechoslovakia</t>
  </si>
  <si>
    <t>72</t>
  </si>
  <si>
    <t>xxx</t>
  </si>
  <si>
    <t>Estonia</t>
  </si>
  <si>
    <t>‖73</t>
  </si>
  <si>
    <t>German Democratic Republic</t>
  </si>
  <si>
    <t>74</t>
  </si>
  <si>
    <t>Hungary</t>
  </si>
  <si>
    <t>Kosovo</t>
  </si>
  <si>
    <t>Latvia</t>
  </si>
  <si>
    <t>‖75</t>
  </si>
  <si>
    <t>Lithuania</t>
  </si>
  <si>
    <t>North Macedonia</t>
  </si>
  <si>
    <t>†77</t>
  </si>
  <si>
    <t>Montenegro</t>
  </si>
  <si>
    <t>76</t>
  </si>
  <si>
    <t>Poland</t>
  </si>
  <si>
    <t>78</t>
  </si>
  <si>
    <t>Romania</t>
  </si>
  <si>
    <t>¶‖</t>
  </si>
  <si>
    <t>Serbia</t>
  </si>
  <si>
    <t>79</t>
  </si>
  <si>
    <t>Slovakia</t>
  </si>
  <si>
    <t>Slovenia</t>
  </si>
  <si>
    <t>80</t>
  </si>
  <si>
    <t>Armenia</t>
  </si>
  <si>
    <t>†6</t>
  </si>
  <si>
    <t>Azerbaijan</t>
  </si>
  <si>
    <t>‖7</t>
  </si>
  <si>
    <t>Belarus</t>
  </si>
  <si>
    <t>Georgia</t>
  </si>
  <si>
    <t>†§81</t>
  </si>
  <si>
    <t>Moldova</t>
  </si>
  <si>
    <t>†¶82</t>
  </si>
  <si>
    <t>Russia</t>
  </si>
  <si>
    <t>83</t>
  </si>
  <si>
    <t>Ukraine</t>
  </si>
  <si>
    <t>84</t>
  </si>
  <si>
    <t>USSR</t>
  </si>
  <si>
    <t>Austria</t>
  </si>
  <si>
    <t>Belgium</t>
  </si>
  <si>
    <t>Cyprus</t>
  </si>
  <si>
    <t>†§</t>
  </si>
  <si>
    <t>Denmark</t>
  </si>
  <si>
    <t>Finland</t>
  </si>
  <si>
    <t>85</t>
  </si>
  <si>
    <t>France</t>
  </si>
  <si>
    <t>101</t>
  </si>
  <si>
    <t>Germany</t>
  </si>
  <si>
    <t>Greece</t>
  </si>
  <si>
    <t>Iceland</t>
  </si>
  <si>
    <t>86</t>
  </si>
  <si>
    <t>Ireland</t>
  </si>
  <si>
    <t>Italy</t>
  </si>
  <si>
    <t>87</t>
  </si>
  <si>
    <t>Luxembourg</t>
  </si>
  <si>
    <t>88</t>
  </si>
  <si>
    <t>Malta</t>
  </si>
  <si>
    <t>†‖</t>
  </si>
  <si>
    <t>Netherlands</t>
  </si>
  <si>
    <t>Norway</t>
  </si>
  <si>
    <t>Portugal</t>
  </si>
  <si>
    <t>Spain</t>
  </si>
  <si>
    <t>89</t>
  </si>
  <si>
    <t>Sweden</t>
  </si>
  <si>
    <t>Switzerland</t>
  </si>
  <si>
    <t>†¶90</t>
  </si>
  <si>
    <t>United Kingdom</t>
  </si>
  <si>
    <t>91</t>
  </si>
  <si>
    <t>European Union</t>
  </si>
  <si>
    <t>†¶103</t>
  </si>
  <si>
    <t>Bahrain</t>
  </si>
  <si>
    <t>8</t>
  </si>
  <si>
    <t>Egypt</t>
  </si>
  <si>
    <t>§¶</t>
  </si>
  <si>
    <t>Iran</t>
  </si>
  <si>
    <t>92</t>
  </si>
  <si>
    <t>Iraq</t>
  </si>
  <si>
    <t>§¶93</t>
  </si>
  <si>
    <t>Israel</t>
  </si>
  <si>
    <t>94</t>
  </si>
  <si>
    <t>Jordan</t>
  </si>
  <si>
    <t>Kuwait</t>
  </si>
  <si>
    <t>95</t>
  </si>
  <si>
    <t>Lebanon</t>
  </si>
  <si>
    <t>Oman</t>
  </si>
  <si>
    <t>‡96</t>
  </si>
  <si>
    <t>Qatar</t>
  </si>
  <si>
    <t>§102</t>
  </si>
  <si>
    <t>Saudi Arabia</t>
  </si>
  <si>
    <t>97</t>
  </si>
  <si>
    <t>Syria</t>
  </si>
  <si>
    <t>Türkiye</t>
  </si>
  <si>
    <t>United Arab Emirates</t>
  </si>
  <si>
    <t>§98</t>
  </si>
  <si>
    <t>Yemen, North</t>
  </si>
  <si>
    <t>§100</t>
  </si>
  <si>
    <t>Yemen</t>
  </si>
  <si>
    <t>§99</t>
  </si>
  <si>
    <t>Military expenditure by country, in constant (2023) US$ m., 1949-2024      © SIPRI 2024</t>
  </si>
  <si>
    <t>Figures are in US $m., at constant 2023 prices and exchange rates</t>
  </si>
  <si>
    <t xml:space="preserve">US Max </t>
  </si>
  <si>
    <t>Canada Max</t>
  </si>
  <si>
    <t>∆Canada</t>
  </si>
  <si>
    <t>∆USA</t>
  </si>
  <si>
    <t xml:space="preserve">                   a=</t>
  </si>
  <si>
    <t xml:space="preserve">                  b=</t>
  </si>
  <si>
    <t>USA</t>
  </si>
  <si>
    <t>USA_change</t>
  </si>
  <si>
    <t xml:space="preserve">Canada_change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</si>
</sst>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indexed="8"/>
      <name val="Aptos Narrow"/>
      <family val="2"/>
      <scheme val="minor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170FA2-54CD-EC4D-9C7E-F4DCD49A34AE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7ED44-35FA-2C43-A336-0FA530740FDD}" name="Table__2" displayName="Table__2" ref="A1:D80" tableType="queryTable" totalsRowShown="0">
  <autoFilter ref="A1:D80" xr:uid="{71A7ED44-35FA-2C43-A336-0FA530740FDD}"/>
  <tableColumns count="4">
    <tableColumn id="1" xr3:uid="{C682C21C-03F9-D645-9BBB-B0640066CAB2}" uniqueName="1" name="Canada" queryTableFieldId="1"/>
    <tableColumn id="2" xr3:uid="{E4493148-6FE3-3340-8E4B-A263C6194E19}" uniqueName="2" name="USA" queryTableFieldId="2"/>
    <tableColumn id="3" xr3:uid="{65CB90E1-33F1-714C-9836-995048D1CFC7}" uniqueName="3" name="Canada_change " queryTableFieldId="3" dataDxfId="1">
      <calculatedColumnFormula>A3-Table__2[[#This Row],[Canada]]</calculatedColumnFormula>
    </tableColumn>
    <tableColumn id="4" xr3:uid="{357810CD-A0BA-4F4A-90E1-AA012DA2613E}" uniqueName="4" name="USA_change" queryTableFieldId="4" dataDxfId="0">
      <calculatedColumnFormula>B3-Table__2[[#This Row],[USA]]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7C2-D426-2941-96C4-C15F6822161C}">
  <dimension ref="A1:D76"/>
  <sheetViews>
    <sheetView tabSelected="1" workbookViewId="0">
      <selection activeCell="H29" sqref="H29"/>
    </sheetView>
  </sheetViews>
  <sheetFormatPr baseColWidth="10" defaultRowHeight="15" x14ac:dyDescent="0.2"/>
  <cols>
    <col min="2" max="2" width="19" bestFit="1" customWidth="1"/>
  </cols>
  <sheetData>
    <row r="1" spans="1:4" x14ac:dyDescent="0.2">
      <c r="A1" t="s">
        <v>126</v>
      </c>
      <c r="B1" t="s">
        <v>320</v>
      </c>
      <c r="C1" t="s">
        <v>322</v>
      </c>
      <c r="D1" t="s">
        <v>321</v>
      </c>
    </row>
    <row r="2" spans="1:4" x14ac:dyDescent="0.2">
      <c r="A2">
        <v>4324.3999999999996</v>
      </c>
      <c r="B2">
        <v>189049</v>
      </c>
      <c r="C2">
        <f>A3-Table__2[[#This Row],[Canada]]</f>
        <v>4438.8000000000011</v>
      </c>
      <c r="D2">
        <f>B3-Table__2[[#This Row],[USA]]</f>
        <v>215444.09999999998</v>
      </c>
    </row>
    <row r="3" spans="1:4" x14ac:dyDescent="0.2">
      <c r="A3">
        <v>8763.2000000000007</v>
      </c>
      <c r="B3">
        <v>404493.1</v>
      </c>
      <c r="C3">
        <f>A4-Table__2[[#This Row],[Canada]]</f>
        <v>5321.1999999999989</v>
      </c>
      <c r="D3">
        <f>B4-Table__2[[#This Row],[USA]]</f>
        <v>165300</v>
      </c>
    </row>
    <row r="4" spans="1:4" x14ac:dyDescent="0.2">
      <c r="A4">
        <v>14084.4</v>
      </c>
      <c r="B4">
        <v>569793.1</v>
      </c>
      <c r="C4">
        <f>A5-Table__2[[#This Row],[Canada]]</f>
        <v>2077.5</v>
      </c>
      <c r="D4">
        <f>B5-Table__2[[#This Row],[USA]]</f>
        <v>16856.300000000047</v>
      </c>
    </row>
    <row r="5" spans="1:4" x14ac:dyDescent="0.2">
      <c r="A5">
        <v>16161.9</v>
      </c>
      <c r="B5">
        <v>586649.4</v>
      </c>
      <c r="C5">
        <f>A6-Table__2[[#This Row],[Canada]]</f>
        <v>-1126.1999999999989</v>
      </c>
      <c r="D5">
        <f>B6-Table__2[[#This Row],[USA]]</f>
        <v>-80478.5</v>
      </c>
    </row>
    <row r="6" spans="1:4" x14ac:dyDescent="0.2">
      <c r="A6">
        <v>15035.7</v>
      </c>
      <c r="B6">
        <v>506170.9</v>
      </c>
      <c r="C6">
        <f>A7-Table__2[[#This Row],[Canada]]</f>
        <v>-146.70000000000073</v>
      </c>
      <c r="D6">
        <f>B7-Table__2[[#This Row],[USA]]</f>
        <v>-27035</v>
      </c>
    </row>
    <row r="7" spans="1:4" x14ac:dyDescent="0.2">
      <c r="A7">
        <v>14889</v>
      </c>
      <c r="B7">
        <v>479135.9</v>
      </c>
      <c r="C7">
        <f>A8-Table__2[[#This Row],[Canada]]</f>
        <v>306.10000000000036</v>
      </c>
      <c r="D7">
        <f>B8-Table__2[[#This Row],[USA]]</f>
        <v>6269</v>
      </c>
    </row>
    <row r="8" spans="1:4" x14ac:dyDescent="0.2">
      <c r="A8">
        <v>15195.1</v>
      </c>
      <c r="B8">
        <v>485404.9</v>
      </c>
      <c r="C8">
        <f>A9-Table__2[[#This Row],[Canada]]</f>
        <v>-683.70000000000073</v>
      </c>
      <c r="D8">
        <f>B9-Table__2[[#This Row],[USA]]</f>
        <v>13850.5</v>
      </c>
    </row>
    <row r="9" spans="1:4" x14ac:dyDescent="0.2">
      <c r="A9">
        <v>14511.4</v>
      </c>
      <c r="B9">
        <v>499255.4</v>
      </c>
      <c r="C9">
        <f>A10-Table__2[[#This Row],[Canada]]</f>
        <v>-995</v>
      </c>
      <c r="D9">
        <f>B10-Table__2[[#This Row],[USA]]</f>
        <v>-2961.8000000000466</v>
      </c>
    </row>
    <row r="10" spans="1:4" x14ac:dyDescent="0.2">
      <c r="A10">
        <v>13516.4</v>
      </c>
      <c r="B10">
        <v>496293.6</v>
      </c>
      <c r="C10">
        <f>A11-Table__2[[#This Row],[Canada]]</f>
        <v>-870.5</v>
      </c>
      <c r="D10">
        <f>B11-Table__2[[#This Row],[USA]]</f>
        <v>3476.1000000000349</v>
      </c>
    </row>
    <row r="11" spans="1:4" x14ac:dyDescent="0.2">
      <c r="A11">
        <v>12645.9</v>
      </c>
      <c r="B11">
        <v>499769.7</v>
      </c>
      <c r="C11">
        <f>A12-Table__2[[#This Row],[Canada]]</f>
        <v>-279.79999999999927</v>
      </c>
      <c r="D11">
        <f>B12-Table__2[[#This Row],[USA]]</f>
        <v>-12300.400000000023</v>
      </c>
    </row>
    <row r="12" spans="1:4" x14ac:dyDescent="0.2">
      <c r="A12">
        <v>12366.1</v>
      </c>
      <c r="B12">
        <v>487469.3</v>
      </c>
      <c r="C12">
        <f>A13-Table__2[[#This Row],[Canada]]</f>
        <v>255.89999999999964</v>
      </c>
      <c r="D12">
        <f>B13-Table__2[[#This Row],[USA]]</f>
        <v>20619</v>
      </c>
    </row>
    <row r="13" spans="1:4" x14ac:dyDescent="0.2">
      <c r="A13">
        <v>12622</v>
      </c>
      <c r="B13">
        <v>508088.3</v>
      </c>
      <c r="C13">
        <f>A14-Table__2[[#This Row],[Canada]]</f>
        <v>487.70000000000073</v>
      </c>
      <c r="D13">
        <f>B14-Table__2[[#This Row],[USA]]</f>
        <v>42455.500000000058</v>
      </c>
    </row>
    <row r="14" spans="1:4" x14ac:dyDescent="0.2">
      <c r="A14">
        <v>13109.7</v>
      </c>
      <c r="B14">
        <v>550543.80000000005</v>
      </c>
      <c r="C14">
        <f>A15-Table__2[[#This Row],[Canada]]</f>
        <v>-586.60000000000036</v>
      </c>
      <c r="D14">
        <f>B15-Table__2[[#This Row],[USA]]</f>
        <v>-7497.3000000000466</v>
      </c>
    </row>
    <row r="15" spans="1:4" x14ac:dyDescent="0.2">
      <c r="A15">
        <v>12523.1</v>
      </c>
      <c r="B15">
        <v>543046.5</v>
      </c>
      <c r="C15">
        <f>A16-Table__2[[#This Row],[Canada]]</f>
        <v>142.60000000000036</v>
      </c>
      <c r="D15">
        <f>B16-Table__2[[#This Row],[USA]]</f>
        <v>-18105.199999999953</v>
      </c>
    </row>
    <row r="16" spans="1:4" x14ac:dyDescent="0.2">
      <c r="A16">
        <v>12665.7</v>
      </c>
      <c r="B16">
        <v>524941.30000000005</v>
      </c>
      <c r="C16">
        <f>A17-Table__2[[#This Row],[Canada]]</f>
        <v>-928.30000000000109</v>
      </c>
      <c r="D16">
        <f>B17-Table__2[[#This Row],[USA]]</f>
        <v>2299.0999999999767</v>
      </c>
    </row>
    <row r="17" spans="1:4" x14ac:dyDescent="0.2">
      <c r="A17">
        <v>11737.4</v>
      </c>
      <c r="B17">
        <v>527240.4</v>
      </c>
      <c r="C17">
        <f>A18-Table__2[[#This Row],[Canada]]</f>
        <v>-144.60000000000036</v>
      </c>
      <c r="D17">
        <f>B18-Table__2[[#This Row],[USA]]</f>
        <v>96162.5</v>
      </c>
    </row>
    <row r="18" spans="1:4" x14ac:dyDescent="0.2">
      <c r="A18">
        <v>11592.8</v>
      </c>
      <c r="B18">
        <v>623402.9</v>
      </c>
      <c r="C18">
        <f>A19-Table__2[[#This Row],[Canada]]</f>
        <v>732.70000000000073</v>
      </c>
      <c r="D18">
        <f>B19-Table__2[[#This Row],[USA]]</f>
        <v>92307.099999999977</v>
      </c>
    </row>
    <row r="19" spans="1:4" x14ac:dyDescent="0.2">
      <c r="A19">
        <v>12325.5</v>
      </c>
      <c r="B19">
        <v>715710</v>
      </c>
      <c r="C19">
        <f>A20-Table__2[[#This Row],[Canada]]</f>
        <v>-352.39999999999964</v>
      </c>
      <c r="D19">
        <f>B20-Table__2[[#This Row],[USA]]</f>
        <v>22985.599999999977</v>
      </c>
    </row>
    <row r="20" spans="1:4" x14ac:dyDescent="0.2">
      <c r="A20">
        <v>11973.1</v>
      </c>
      <c r="B20">
        <v>738695.6</v>
      </c>
      <c r="C20">
        <f>A21-Table__2[[#This Row],[Canada]]</f>
        <v>-696.89999999999964</v>
      </c>
      <c r="D20">
        <f>B21-Table__2[[#This Row],[USA]]</f>
        <v>-32449.400000000023</v>
      </c>
    </row>
    <row r="21" spans="1:4" x14ac:dyDescent="0.2">
      <c r="A21">
        <v>11276.2</v>
      </c>
      <c r="B21">
        <v>706246.2</v>
      </c>
      <c r="C21">
        <f>A22-Table__2[[#This Row],[Canada]]</f>
        <v>21.899999999999636</v>
      </c>
      <c r="D21">
        <f>B22-Table__2[[#This Row],[USA]]</f>
        <v>-51733.29999999993</v>
      </c>
    </row>
    <row r="22" spans="1:4" x14ac:dyDescent="0.2">
      <c r="A22">
        <v>11298.1</v>
      </c>
      <c r="B22">
        <v>654512.9</v>
      </c>
      <c r="C22">
        <f>A23-Table__2[[#This Row],[Canada]]</f>
        <v>378.60000000000036</v>
      </c>
      <c r="D22">
        <f>B23-Table__2[[#This Row],[USA]]</f>
        <v>-65630.300000000047</v>
      </c>
    </row>
    <row r="23" spans="1:4" x14ac:dyDescent="0.2">
      <c r="A23">
        <v>11676.7</v>
      </c>
      <c r="B23">
        <v>588882.6</v>
      </c>
      <c r="C23">
        <f>A24-Table__2[[#This Row],[Canada]]</f>
        <v>69.399999999999636</v>
      </c>
      <c r="D23">
        <f>B24-Table__2[[#This Row],[USA]]</f>
        <v>-847</v>
      </c>
    </row>
    <row r="24" spans="1:4" x14ac:dyDescent="0.2">
      <c r="A24">
        <v>11746.1</v>
      </c>
      <c r="B24">
        <v>588035.6</v>
      </c>
      <c r="C24">
        <f>A25-Table__2[[#This Row],[Canada]]</f>
        <v>-80.5</v>
      </c>
      <c r="D24">
        <f>B25-Table__2[[#This Row],[USA]]</f>
        <v>-29210.5</v>
      </c>
    </row>
    <row r="25" spans="1:4" x14ac:dyDescent="0.2">
      <c r="A25">
        <v>11665.6</v>
      </c>
      <c r="B25">
        <v>558825.1</v>
      </c>
      <c r="C25">
        <f>A26-Table__2[[#This Row],[Canada]]</f>
        <v>568.69999999999891</v>
      </c>
      <c r="D25">
        <f>B26-Table__2[[#This Row],[USA]]</f>
        <v>-7297</v>
      </c>
    </row>
    <row r="26" spans="1:4" x14ac:dyDescent="0.2">
      <c r="A26">
        <v>12234.3</v>
      </c>
      <c r="B26">
        <v>551528.1</v>
      </c>
      <c r="C26">
        <f>A27-Table__2[[#This Row],[Canada]]</f>
        <v>766</v>
      </c>
      <c r="D26">
        <f>B27-Table__2[[#This Row],[USA]]</f>
        <v>-30288.899999999965</v>
      </c>
    </row>
    <row r="27" spans="1:4" x14ac:dyDescent="0.2">
      <c r="A27">
        <v>13000.3</v>
      </c>
      <c r="B27">
        <v>521239.2</v>
      </c>
      <c r="C27">
        <f>A28-Table__2[[#This Row],[Canada]]</f>
        <v>199.30000000000109</v>
      </c>
      <c r="D27">
        <f>B28-Table__2[[#This Row],[USA]]</f>
        <v>-14178.900000000023</v>
      </c>
    </row>
    <row r="28" spans="1:4" x14ac:dyDescent="0.2">
      <c r="A28">
        <v>13199.6</v>
      </c>
      <c r="B28">
        <v>507060.3</v>
      </c>
      <c r="C28">
        <f>A29-Table__2[[#This Row],[Canada]]</f>
        <v>610</v>
      </c>
      <c r="D28">
        <f>B29-Table__2[[#This Row],[USA]]</f>
        <v>19136.299999999988</v>
      </c>
    </row>
    <row r="29" spans="1:4" x14ac:dyDescent="0.2">
      <c r="A29">
        <v>13809.6</v>
      </c>
      <c r="B29">
        <v>526196.6</v>
      </c>
      <c r="C29">
        <f>A30-Table__2[[#This Row],[Canada]]</f>
        <v>577.10000000000036</v>
      </c>
      <c r="D29">
        <f>B30-Table__2[[#This Row],[USA]]</f>
        <v>3328.5999999999767</v>
      </c>
    </row>
    <row r="30" spans="1:4" x14ac:dyDescent="0.2">
      <c r="A30">
        <v>14386.7</v>
      </c>
      <c r="B30">
        <v>529525.19999999995</v>
      </c>
      <c r="C30">
        <f>A31-Table__2[[#This Row],[Canada]]</f>
        <v>-457.90000000000146</v>
      </c>
      <c r="D30">
        <f>B31-Table__2[[#This Row],[USA]]</f>
        <v>3039.1000000000931</v>
      </c>
    </row>
    <row r="31" spans="1:4" x14ac:dyDescent="0.2">
      <c r="A31">
        <v>13928.8</v>
      </c>
      <c r="B31">
        <v>532564.30000000005</v>
      </c>
      <c r="C31">
        <f>A32-Table__2[[#This Row],[Canada]]</f>
        <v>728.80000000000109</v>
      </c>
      <c r="D31">
        <f>B32-Table__2[[#This Row],[USA]]</f>
        <v>-1228.9000000000233</v>
      </c>
    </row>
    <row r="32" spans="1:4" x14ac:dyDescent="0.2">
      <c r="A32">
        <v>14657.6</v>
      </c>
      <c r="B32">
        <v>531335.4</v>
      </c>
      <c r="C32">
        <f>A33-Table__2[[#This Row],[Canada]]</f>
        <v>-175.80000000000109</v>
      </c>
      <c r="D32">
        <f>B33-Table__2[[#This Row],[USA]]</f>
        <v>60499.199999999953</v>
      </c>
    </row>
    <row r="33" spans="1:4" x14ac:dyDescent="0.2">
      <c r="A33">
        <v>14481.8</v>
      </c>
      <c r="B33">
        <v>591834.6</v>
      </c>
      <c r="C33">
        <f>A34-Table__2[[#This Row],[Canada]]</f>
        <v>1259.8000000000011</v>
      </c>
      <c r="D33">
        <f>B34-Table__2[[#This Row],[USA]]</f>
        <v>108106.5</v>
      </c>
    </row>
    <row r="34" spans="1:4" x14ac:dyDescent="0.2">
      <c r="A34">
        <v>15741.6</v>
      </c>
      <c r="B34">
        <v>699941.1</v>
      </c>
      <c r="C34">
        <f>A35-Table__2[[#This Row],[Canada]]</f>
        <v>1415.1999999999989</v>
      </c>
      <c r="D34">
        <f>B35-Table__2[[#This Row],[USA]]</f>
        <v>-16421.099999999977</v>
      </c>
    </row>
    <row r="35" spans="1:4" x14ac:dyDescent="0.2">
      <c r="A35">
        <v>17156.8</v>
      </c>
      <c r="B35">
        <v>683520</v>
      </c>
      <c r="C35">
        <f>A36-Table__2[[#This Row],[Canada]]</f>
        <v>1124</v>
      </c>
      <c r="D35">
        <f>B36-Table__2[[#This Row],[USA]]</f>
        <v>35415</v>
      </c>
    </row>
    <row r="36" spans="1:4" x14ac:dyDescent="0.2">
      <c r="A36">
        <v>18280.8</v>
      </c>
      <c r="B36">
        <v>718935</v>
      </c>
      <c r="C36">
        <f>A37-Table__2[[#This Row],[Canada]]</f>
        <v>540.79999999999927</v>
      </c>
      <c r="D36">
        <f>B37-Table__2[[#This Row],[USA]]</f>
        <v>51776.599999999977</v>
      </c>
    </row>
    <row r="37" spans="1:4" x14ac:dyDescent="0.2">
      <c r="A37">
        <v>18821.599999999999</v>
      </c>
      <c r="B37">
        <v>770711.6</v>
      </c>
      <c r="C37">
        <f>A38-Table__2[[#This Row],[Canada]]</f>
        <v>351.20000000000073</v>
      </c>
      <c r="D37">
        <f>B38-Table__2[[#This Row],[USA]]</f>
        <v>50943.300000000047</v>
      </c>
    </row>
    <row r="38" spans="1:4" x14ac:dyDescent="0.2">
      <c r="A38">
        <v>19172.8</v>
      </c>
      <c r="B38">
        <v>821654.9</v>
      </c>
      <c r="C38">
        <f>A39-Table__2[[#This Row],[Canada]]</f>
        <v>418.70000000000073</v>
      </c>
      <c r="D38">
        <f>B39-Table__2[[#This Row],[USA]]</f>
        <v>-6741.7000000000698</v>
      </c>
    </row>
    <row r="39" spans="1:4" x14ac:dyDescent="0.2">
      <c r="A39">
        <v>19591.5</v>
      </c>
      <c r="B39">
        <v>814913.2</v>
      </c>
      <c r="C39">
        <f>A40-Table__2[[#This Row],[Canada]]</f>
        <v>307.5</v>
      </c>
      <c r="D39">
        <f>B40-Table__2[[#This Row],[USA]]</f>
        <v>-17047.199999999953</v>
      </c>
    </row>
    <row r="40" spans="1:4" x14ac:dyDescent="0.2">
      <c r="A40">
        <v>19899</v>
      </c>
      <c r="B40">
        <v>797866</v>
      </c>
      <c r="C40">
        <f>A41-Table__2[[#This Row],[Canada]]</f>
        <v>-100.59999999999854</v>
      </c>
      <c r="D40">
        <f>B41-Table__2[[#This Row],[USA]]</f>
        <v>-6740.5</v>
      </c>
    </row>
    <row r="41" spans="1:4" x14ac:dyDescent="0.2">
      <c r="A41">
        <v>19798.400000000001</v>
      </c>
      <c r="B41">
        <v>791125.5</v>
      </c>
      <c r="C41">
        <f>A42-Table__2[[#This Row],[Canada]]</f>
        <v>-18.600000000002183</v>
      </c>
      <c r="D41">
        <f>B42-Table__2[[#This Row],[USA]]</f>
        <v>-32908.199999999953</v>
      </c>
    </row>
    <row r="42" spans="1:4" x14ac:dyDescent="0.2">
      <c r="A42">
        <v>19779.8</v>
      </c>
      <c r="B42">
        <v>758217.3</v>
      </c>
      <c r="C42">
        <f>A43-Table__2[[#This Row],[Canada]]</f>
        <v>-1512.2000000000007</v>
      </c>
      <c r="D42">
        <f>B43-Table__2[[#This Row],[USA]]</f>
        <v>-88430.800000000047</v>
      </c>
    </row>
    <row r="43" spans="1:4" x14ac:dyDescent="0.2">
      <c r="A43">
        <v>18267.599999999999</v>
      </c>
      <c r="B43">
        <v>669786.5</v>
      </c>
      <c r="C43">
        <f>A44-Table__2[[#This Row],[Canada]]</f>
        <v>-201.69999999999709</v>
      </c>
      <c r="D43">
        <f>B44-Table__2[[#This Row],[USA]]</f>
        <v>36033.199999999953</v>
      </c>
    </row>
    <row r="44" spans="1:4" x14ac:dyDescent="0.2">
      <c r="A44">
        <v>18065.900000000001</v>
      </c>
      <c r="B44">
        <v>705819.7</v>
      </c>
      <c r="C44">
        <f>A45-Table__2[[#This Row],[Canada]]</f>
        <v>-45.400000000001455</v>
      </c>
      <c r="D44">
        <f>B45-Table__2[[#This Row],[USA]]</f>
        <v>-37773</v>
      </c>
    </row>
    <row r="45" spans="1:4" x14ac:dyDescent="0.2">
      <c r="A45">
        <v>18020.5</v>
      </c>
      <c r="B45">
        <v>668046.69999999995</v>
      </c>
      <c r="C45">
        <f>A46-Table__2[[#This Row],[Canada]]</f>
        <v>-261.79999999999927</v>
      </c>
      <c r="D45">
        <f>B46-Table__2[[#This Row],[USA]]</f>
        <v>-34727.599999999977</v>
      </c>
    </row>
    <row r="46" spans="1:4" x14ac:dyDescent="0.2">
      <c r="A46">
        <v>17758.7</v>
      </c>
      <c r="B46">
        <v>633319.1</v>
      </c>
      <c r="C46">
        <f>A47-Table__2[[#This Row],[Canada]]</f>
        <v>-1020.7000000000007</v>
      </c>
      <c r="D46">
        <f>B47-Table__2[[#This Row],[USA]]</f>
        <v>-41739.29999999993</v>
      </c>
    </row>
    <row r="47" spans="1:4" x14ac:dyDescent="0.2">
      <c r="A47">
        <v>16738</v>
      </c>
      <c r="B47">
        <v>591579.80000000005</v>
      </c>
      <c r="C47">
        <f>A48-Table__2[[#This Row],[Canada]]</f>
        <v>-1367.3999999999996</v>
      </c>
      <c r="D47">
        <f>B48-Table__2[[#This Row],[USA]]</f>
        <v>-32178.600000000093</v>
      </c>
    </row>
    <row r="48" spans="1:4" x14ac:dyDescent="0.2">
      <c r="A48">
        <v>15370.6</v>
      </c>
      <c r="B48">
        <v>559401.19999999995</v>
      </c>
      <c r="C48">
        <f>A49-Table__2[[#This Row],[Canada]]</f>
        <v>-1206.3999999999996</v>
      </c>
      <c r="D48">
        <f>B49-Table__2[[#This Row],[USA]]</f>
        <v>-2893.8999999999069</v>
      </c>
    </row>
    <row r="49" spans="1:4" x14ac:dyDescent="0.2">
      <c r="A49">
        <v>14164.2</v>
      </c>
      <c r="B49">
        <v>556507.30000000005</v>
      </c>
      <c r="C49">
        <f>A50-Table__2[[#This Row],[Canada]]</f>
        <v>489.79999999999927</v>
      </c>
      <c r="D49">
        <f>B50-Table__2[[#This Row],[USA]]</f>
        <v>-12566</v>
      </c>
    </row>
    <row r="50" spans="1:4" x14ac:dyDescent="0.2">
      <c r="A50">
        <v>14654</v>
      </c>
      <c r="B50">
        <v>543941.30000000005</v>
      </c>
      <c r="C50">
        <f>A51-Table__2[[#This Row],[Canada]]</f>
        <v>632.60000000000036</v>
      </c>
      <c r="D50">
        <f>B51-Table__2[[#This Row],[USA]]</f>
        <v>1338.5</v>
      </c>
    </row>
    <row r="51" spans="1:4" x14ac:dyDescent="0.2">
      <c r="A51">
        <v>15286.6</v>
      </c>
      <c r="B51">
        <v>545279.80000000005</v>
      </c>
      <c r="C51">
        <f>A52-Table__2[[#This Row],[Canada]]</f>
        <v>-250.39999999999964</v>
      </c>
      <c r="D51">
        <f>B52-Table__2[[#This Row],[USA]]</f>
        <v>21101.199999999953</v>
      </c>
    </row>
    <row r="52" spans="1:4" x14ac:dyDescent="0.2">
      <c r="A52">
        <v>15036.2</v>
      </c>
      <c r="B52">
        <v>566381</v>
      </c>
      <c r="C52">
        <f>A53-Table__2[[#This Row],[Canada]]</f>
        <v>398.69999999999891</v>
      </c>
      <c r="D52">
        <f>B53-Table__2[[#This Row],[USA]]</f>
        <v>4600</v>
      </c>
    </row>
    <row r="53" spans="1:4" x14ac:dyDescent="0.2">
      <c r="A53">
        <v>15434.9</v>
      </c>
      <c r="B53">
        <v>570981</v>
      </c>
      <c r="C53">
        <f>A54-Table__2[[#This Row],[Canada]]</f>
        <v>78.300000000001091</v>
      </c>
      <c r="D53">
        <f>B54-Table__2[[#This Row],[USA]]</f>
        <v>70121.5</v>
      </c>
    </row>
    <row r="54" spans="1:4" x14ac:dyDescent="0.2">
      <c r="A54">
        <v>15513.2</v>
      </c>
      <c r="B54">
        <v>641102.5</v>
      </c>
      <c r="C54">
        <f>A55-Table__2[[#This Row],[Canada]]</f>
        <v>285.59999999999854</v>
      </c>
      <c r="D54">
        <f>B55-Table__2[[#This Row],[USA]]</f>
        <v>88578.099999999977</v>
      </c>
    </row>
    <row r="55" spans="1:4" x14ac:dyDescent="0.2">
      <c r="A55">
        <v>15798.8</v>
      </c>
      <c r="B55">
        <v>729680.6</v>
      </c>
      <c r="C55">
        <f>A56-Table__2[[#This Row],[Canada]]</f>
        <v>597.90000000000146</v>
      </c>
      <c r="D55">
        <f>B56-Table__2[[#This Row],[USA]]</f>
        <v>65612.900000000023</v>
      </c>
    </row>
    <row r="56" spans="1:4" x14ac:dyDescent="0.2">
      <c r="A56">
        <v>16396.7</v>
      </c>
      <c r="B56">
        <v>795293.5</v>
      </c>
      <c r="C56">
        <f>A57-Table__2[[#This Row],[Canada]]</f>
        <v>721.20000000000073</v>
      </c>
      <c r="D56">
        <f>B57-Table__2[[#This Row],[USA]]</f>
        <v>36630.400000000023</v>
      </c>
    </row>
    <row r="57" spans="1:4" x14ac:dyDescent="0.2">
      <c r="A57">
        <v>17117.900000000001</v>
      </c>
      <c r="B57">
        <v>831923.9</v>
      </c>
      <c r="C57">
        <f>A58-Table__2[[#This Row],[Canada]]</f>
        <v>795.59999999999854</v>
      </c>
      <c r="D57">
        <f>B58-Table__2[[#This Row],[USA]]</f>
        <v>11987.79999999993</v>
      </c>
    </row>
    <row r="58" spans="1:4" x14ac:dyDescent="0.2">
      <c r="A58">
        <v>17913.5</v>
      </c>
      <c r="B58">
        <v>843911.7</v>
      </c>
      <c r="C58">
        <f>A59-Table__2[[#This Row],[Canada]]</f>
        <v>1616.9000000000015</v>
      </c>
      <c r="D58">
        <f>B59-Table__2[[#This Row],[USA]]</f>
        <v>22518.800000000047</v>
      </c>
    </row>
    <row r="59" spans="1:4" x14ac:dyDescent="0.2">
      <c r="A59">
        <v>19530.400000000001</v>
      </c>
      <c r="B59">
        <v>866430.5</v>
      </c>
      <c r="C59">
        <f>A60-Table__2[[#This Row],[Canada]]</f>
        <v>1517</v>
      </c>
      <c r="D59">
        <f>B60-Table__2[[#This Row],[USA]]</f>
        <v>63027.300000000047</v>
      </c>
    </row>
    <row r="60" spans="1:4" x14ac:dyDescent="0.2">
      <c r="A60">
        <v>21047.4</v>
      </c>
      <c r="B60">
        <v>929457.8</v>
      </c>
      <c r="C60">
        <f>A61-Table__2[[#This Row],[Canada]]</f>
        <v>961.29999999999927</v>
      </c>
      <c r="D60">
        <f>B61-Table__2[[#This Row],[USA]]</f>
        <v>73138.599999999977</v>
      </c>
    </row>
    <row r="61" spans="1:4" x14ac:dyDescent="0.2">
      <c r="A61">
        <v>22008.7</v>
      </c>
      <c r="B61">
        <v>1002596.4</v>
      </c>
      <c r="C61">
        <f>A62-Table__2[[#This Row],[Canada]]</f>
        <v>-2130.2999999999993</v>
      </c>
      <c r="D61">
        <f>B62-Table__2[[#This Row],[USA]]</f>
        <v>28660.699999999953</v>
      </c>
    </row>
    <row r="62" spans="1:4" x14ac:dyDescent="0.2">
      <c r="A62">
        <v>19878.400000000001</v>
      </c>
      <c r="B62">
        <v>1031257.1</v>
      </c>
      <c r="C62">
        <f>A63-Table__2[[#This Row],[Canada]]</f>
        <v>671.79999999999927</v>
      </c>
      <c r="D62">
        <f>B63-Table__2[[#This Row],[USA]]</f>
        <v>-12211.199999999953</v>
      </c>
    </row>
    <row r="63" spans="1:4" x14ac:dyDescent="0.2">
      <c r="A63">
        <v>20550.2</v>
      </c>
      <c r="B63">
        <v>1019045.9</v>
      </c>
      <c r="C63">
        <f>A64-Table__2[[#This Row],[Canada]]</f>
        <v>-1008.9000000000015</v>
      </c>
      <c r="D63">
        <f>B64-Table__2[[#This Row],[USA]]</f>
        <v>-56602.70000000007</v>
      </c>
    </row>
    <row r="64" spans="1:4" x14ac:dyDescent="0.2">
      <c r="A64">
        <v>19541.3</v>
      </c>
      <c r="B64">
        <v>962443.2</v>
      </c>
      <c r="C64">
        <f>A65-Table__2[[#This Row],[Canada]]</f>
        <v>-1477.7000000000007</v>
      </c>
      <c r="D64">
        <f>B65-Table__2[[#This Row],[USA]]</f>
        <v>-74030</v>
      </c>
    </row>
    <row r="65" spans="1:4" x14ac:dyDescent="0.2">
      <c r="A65">
        <v>18063.599999999999</v>
      </c>
      <c r="B65">
        <v>888413.2</v>
      </c>
      <c r="C65">
        <f>A66-Table__2[[#This Row],[Canada]]</f>
        <v>294.70000000000073</v>
      </c>
      <c r="D65">
        <f>B66-Table__2[[#This Row],[USA]]</f>
        <v>-54648.199999999953</v>
      </c>
    </row>
    <row r="66" spans="1:4" x14ac:dyDescent="0.2">
      <c r="A66">
        <v>18358.3</v>
      </c>
      <c r="B66">
        <v>833765</v>
      </c>
      <c r="C66">
        <f>A67-Table__2[[#This Row],[Canada]]</f>
        <v>2733.7000000000007</v>
      </c>
      <c r="D66">
        <f>B67-Table__2[[#This Row],[USA]]</f>
        <v>-18933.599999999977</v>
      </c>
    </row>
    <row r="67" spans="1:4" x14ac:dyDescent="0.2">
      <c r="A67">
        <v>21092</v>
      </c>
      <c r="B67">
        <v>814831.4</v>
      </c>
      <c r="C67">
        <f>A68-Table__2[[#This Row],[Canada]]</f>
        <v>279.79999999999927</v>
      </c>
      <c r="D67">
        <f>B68-Table__2[[#This Row],[USA]]</f>
        <v>-2500.4000000000233</v>
      </c>
    </row>
    <row r="68" spans="1:4" x14ac:dyDescent="0.2">
      <c r="A68">
        <v>21371.8</v>
      </c>
      <c r="B68">
        <v>812331</v>
      </c>
      <c r="C68">
        <f>A69-Table__2[[#This Row],[Canada]]</f>
        <v>4444.6000000000022</v>
      </c>
      <c r="D68">
        <f>B69-Table__2[[#This Row],[USA]]</f>
        <v>-8369.8000000000466</v>
      </c>
    </row>
    <row r="69" spans="1:4" x14ac:dyDescent="0.2">
      <c r="A69">
        <v>25816.400000000001</v>
      </c>
      <c r="B69">
        <v>803961.2</v>
      </c>
      <c r="C69">
        <f>A70-Table__2[[#This Row],[Canada]]</f>
        <v>-119.20000000000073</v>
      </c>
      <c r="D69">
        <f>B70-Table__2[[#This Row],[USA]]</f>
        <v>24197.100000000093</v>
      </c>
    </row>
    <row r="70" spans="1:4" x14ac:dyDescent="0.2">
      <c r="A70">
        <v>25697.200000000001</v>
      </c>
      <c r="B70">
        <v>828158.3</v>
      </c>
      <c r="C70">
        <f>A71-Table__2[[#This Row],[Canada]]</f>
        <v>-269.70000000000073</v>
      </c>
      <c r="D70">
        <f>B71-Table__2[[#This Row],[USA]]</f>
        <v>47059.099999999977</v>
      </c>
    </row>
    <row r="71" spans="1:4" x14ac:dyDescent="0.2">
      <c r="A71">
        <v>25427.5</v>
      </c>
      <c r="B71">
        <v>875217.4</v>
      </c>
      <c r="C71">
        <f>A72-Table__2[[#This Row],[Canada]]</f>
        <v>869</v>
      </c>
      <c r="D71">
        <f>B72-Table__2[[#This Row],[USA]]</f>
        <v>41199.199999999953</v>
      </c>
    </row>
    <row r="72" spans="1:4" x14ac:dyDescent="0.2">
      <c r="A72">
        <v>26296.5</v>
      </c>
      <c r="B72">
        <v>916416.6</v>
      </c>
      <c r="C72">
        <f>A73-Table__2[[#This Row],[Canada]]</f>
        <v>-164.90000000000146</v>
      </c>
      <c r="D72">
        <f>B73-Table__2[[#This Row],[USA]]</f>
        <v>-9822.2999999999302</v>
      </c>
    </row>
    <row r="73" spans="1:4" x14ac:dyDescent="0.2">
      <c r="A73">
        <v>26131.599999999999</v>
      </c>
      <c r="B73">
        <v>906594.3</v>
      </c>
      <c r="C73">
        <f>A74-Table__2[[#This Row],[Canada]]</f>
        <v>-533.59999999999854</v>
      </c>
      <c r="D73">
        <f>B74-Table__2[[#This Row],[USA]]</f>
        <v>-10473.100000000093</v>
      </c>
    </row>
    <row r="74" spans="1:4" x14ac:dyDescent="0.2">
      <c r="A74">
        <v>25598</v>
      </c>
      <c r="B74">
        <v>896121.2</v>
      </c>
      <c r="C74">
        <f>A75-Table__2[[#This Row],[Canada]]</f>
        <v>1629.7000000000007</v>
      </c>
      <c r="D74">
        <f>B75-Table__2[[#This Row],[USA]]</f>
        <v>19893.5</v>
      </c>
    </row>
    <row r="75" spans="1:4" x14ac:dyDescent="0.2">
      <c r="A75">
        <v>27227.7</v>
      </c>
      <c r="B75">
        <v>916014.7</v>
      </c>
      <c r="C75">
        <f>A76-Table__2[[#This Row],[Canada]]</f>
        <v>1838.2000000000007</v>
      </c>
      <c r="D75">
        <f>B76-Table__2[[#This Row],[USA]]</f>
        <v>52366.900000000023</v>
      </c>
    </row>
    <row r="76" spans="1:4" x14ac:dyDescent="0.2">
      <c r="A76">
        <v>29065.9</v>
      </c>
      <c r="B76">
        <v>968381.6</v>
      </c>
      <c r="C76">
        <f>A77-Table__2[[#This Row],[Canada]]</f>
        <v>-29065.9</v>
      </c>
      <c r="D76">
        <f>B77-Table__2[[#This Row],[USA]]</f>
        <v>-968381.6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199"/>
  <sheetViews>
    <sheetView workbookViewId="0">
      <pane xSplit="1" ySplit="6" topLeftCell="B63" activePane="bottomRight" state="frozen"/>
      <selection pane="topRight"/>
      <selection pane="bottomLeft"/>
      <selection pane="bottomRight" activeCell="CA79" sqref="A78:CA79"/>
    </sheetView>
  </sheetViews>
  <sheetFormatPr baseColWidth="10" defaultColWidth="8.83203125" defaultRowHeight="15" x14ac:dyDescent="0.2"/>
  <cols>
    <col min="1" max="1" width="25.83203125" customWidth="1"/>
    <col min="2" max="2" width="1.5" bestFit="1" customWidth="1"/>
    <col min="3" max="3" width="9.1640625" bestFit="1" customWidth="1"/>
    <col min="4" max="63" width="8.83203125" bestFit="1" customWidth="1"/>
    <col min="64" max="66" width="10" bestFit="1" customWidth="1"/>
    <col min="67" max="79" width="8.83203125" bestFit="1" customWidth="1"/>
  </cols>
  <sheetData>
    <row r="1" spans="1:79" ht="18" x14ac:dyDescent="0.2">
      <c r="A1" s="2" t="s">
        <v>312</v>
      </c>
    </row>
    <row r="2" spans="1:79" x14ac:dyDescent="0.2">
      <c r="A2" s="3" t="s">
        <v>313</v>
      </c>
      <c r="S2" t="s">
        <v>315</v>
      </c>
      <c r="T2" s="8">
        <f>MAX(D78:CA78)</f>
        <v>29065.922006541201</v>
      </c>
    </row>
    <row r="3" spans="1:79" x14ac:dyDescent="0.2">
      <c r="A3" s="1" t="s">
        <v>27</v>
      </c>
      <c r="S3" t="s">
        <v>314</v>
      </c>
      <c r="T3" s="8">
        <f>MAX(D79,CA79)</f>
        <v>968381.59485090966</v>
      </c>
    </row>
    <row r="4" spans="1:79" x14ac:dyDescent="0.2">
      <c r="A4" s="3" t="s">
        <v>28</v>
      </c>
    </row>
    <row r="5" spans="1:79" x14ac:dyDescent="0.2">
      <c r="A5" s="3" t="s">
        <v>5</v>
      </c>
    </row>
    <row r="6" spans="1:79" ht="18" x14ac:dyDescent="0.2">
      <c r="A6" s="2" t="s">
        <v>29</v>
      </c>
      <c r="B6" s="2" t="s">
        <v>5</v>
      </c>
      <c r="C6" s="2" t="s">
        <v>30</v>
      </c>
      <c r="D6" s="2">
        <v>1949</v>
      </c>
      <c r="E6" s="2">
        <v>1950</v>
      </c>
      <c r="F6" s="2">
        <v>1951</v>
      </c>
      <c r="G6" s="2">
        <v>1952</v>
      </c>
      <c r="H6" s="2">
        <v>1953</v>
      </c>
      <c r="I6" s="2">
        <v>1954</v>
      </c>
      <c r="J6" s="2">
        <v>1955</v>
      </c>
      <c r="K6" s="2">
        <v>1956</v>
      </c>
      <c r="L6" s="2">
        <v>1957</v>
      </c>
      <c r="M6" s="2">
        <v>1958</v>
      </c>
      <c r="N6" s="2">
        <v>1959</v>
      </c>
      <c r="O6" s="2">
        <v>1960</v>
      </c>
      <c r="P6" s="2">
        <v>1961</v>
      </c>
      <c r="Q6" s="2">
        <v>1962</v>
      </c>
      <c r="R6" s="2">
        <v>1963</v>
      </c>
      <c r="S6" s="2">
        <v>1964</v>
      </c>
      <c r="T6" s="2">
        <v>1965</v>
      </c>
      <c r="U6" s="2">
        <v>1966</v>
      </c>
      <c r="V6" s="2">
        <v>1967</v>
      </c>
      <c r="W6" s="2">
        <v>1968</v>
      </c>
      <c r="X6" s="2">
        <v>1969</v>
      </c>
      <c r="Y6" s="2">
        <v>1970</v>
      </c>
      <c r="Z6" s="2">
        <v>1971</v>
      </c>
      <c r="AA6" s="2">
        <v>1972</v>
      </c>
      <c r="AB6" s="2">
        <v>1973</v>
      </c>
      <c r="AC6" s="2">
        <v>1974</v>
      </c>
      <c r="AD6" s="2">
        <v>1975</v>
      </c>
      <c r="AE6" s="2">
        <v>1976</v>
      </c>
      <c r="AF6" s="2">
        <v>1977</v>
      </c>
      <c r="AG6" s="2">
        <v>1978</v>
      </c>
      <c r="AH6" s="2">
        <v>1979</v>
      </c>
      <c r="AI6" s="2">
        <v>1980</v>
      </c>
      <c r="AJ6" s="2">
        <v>1981</v>
      </c>
      <c r="AK6" s="2">
        <v>1982</v>
      </c>
      <c r="AL6" s="2">
        <v>1983</v>
      </c>
      <c r="AM6" s="2">
        <v>1984</v>
      </c>
      <c r="AN6" s="2">
        <v>1985</v>
      </c>
      <c r="AO6" s="2">
        <v>1986</v>
      </c>
      <c r="AP6" s="2">
        <v>1987</v>
      </c>
      <c r="AQ6" s="2">
        <v>1988</v>
      </c>
      <c r="AR6" s="2">
        <v>1989</v>
      </c>
      <c r="AS6" s="2">
        <v>1990</v>
      </c>
      <c r="AT6" s="2">
        <v>1991</v>
      </c>
      <c r="AU6" s="2">
        <v>1992</v>
      </c>
      <c r="AV6" s="2">
        <v>1993</v>
      </c>
      <c r="AW6" s="2">
        <v>1994</v>
      </c>
      <c r="AX6" s="2">
        <v>1995</v>
      </c>
      <c r="AY6" s="2">
        <v>1996</v>
      </c>
      <c r="AZ6" s="2">
        <v>1997</v>
      </c>
      <c r="BA6" s="2">
        <v>1998</v>
      </c>
      <c r="BB6" s="2">
        <v>1999</v>
      </c>
      <c r="BC6" s="2">
        <v>2000</v>
      </c>
      <c r="BD6" s="2">
        <v>2001</v>
      </c>
      <c r="BE6" s="2">
        <v>2002</v>
      </c>
      <c r="BF6" s="2">
        <v>2003</v>
      </c>
      <c r="BG6" s="2">
        <v>2004</v>
      </c>
      <c r="BH6" s="2">
        <v>2005</v>
      </c>
      <c r="BI6" s="2">
        <v>2006</v>
      </c>
      <c r="BJ6" s="2">
        <v>2007</v>
      </c>
      <c r="BK6" s="2">
        <v>2008</v>
      </c>
      <c r="BL6" s="2">
        <v>2009</v>
      </c>
      <c r="BM6" s="2">
        <v>2010</v>
      </c>
      <c r="BN6" s="2">
        <v>2011</v>
      </c>
      <c r="BO6" s="2">
        <v>2012</v>
      </c>
      <c r="BP6" s="2">
        <v>2013</v>
      </c>
      <c r="BQ6" s="2">
        <v>2014</v>
      </c>
      <c r="BR6" s="2">
        <v>2015</v>
      </c>
      <c r="BS6" s="2">
        <v>2016</v>
      </c>
      <c r="BT6" s="2">
        <v>2017</v>
      </c>
      <c r="BU6" s="2">
        <v>2018</v>
      </c>
      <c r="BV6" s="2">
        <v>2019</v>
      </c>
      <c r="BW6" s="2">
        <v>2020</v>
      </c>
      <c r="BX6" s="2">
        <v>2021</v>
      </c>
      <c r="BY6" s="2">
        <v>2022</v>
      </c>
      <c r="BZ6" s="2">
        <v>2023</v>
      </c>
      <c r="CA6" s="2">
        <v>2024</v>
      </c>
    </row>
    <row r="8" spans="1:79" ht="18" x14ac:dyDescent="0.2">
      <c r="A8" s="2" t="s">
        <v>7</v>
      </c>
    </row>
    <row r="9" spans="1:79" x14ac:dyDescent="0.2">
      <c r="A9" s="4" t="s">
        <v>8</v>
      </c>
    </row>
    <row r="10" spans="1:79" x14ac:dyDescent="0.2">
      <c r="A10" t="s">
        <v>31</v>
      </c>
      <c r="C10" t="s">
        <v>32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s="5">
        <v>278.22325550855373</v>
      </c>
      <c r="Y10" s="5">
        <v>259.93219586522173</v>
      </c>
      <c r="Z10" s="5">
        <v>254.83676577341956</v>
      </c>
      <c r="AA10" s="5">
        <v>246.64891907166009</v>
      </c>
      <c r="AB10" s="5">
        <v>255.55856842195513</v>
      </c>
      <c r="AC10" s="5">
        <v>489.93124217030061</v>
      </c>
      <c r="AD10" s="5">
        <v>546.10620040203219</v>
      </c>
      <c r="AE10" s="5">
        <v>761.11466962492113</v>
      </c>
      <c r="AF10" s="5">
        <v>664.21412020796436</v>
      </c>
      <c r="AG10" s="5">
        <v>719.50593290292613</v>
      </c>
      <c r="AH10" s="5">
        <v>711.64853643630181</v>
      </c>
      <c r="AI10" s="5">
        <v>809.43875158281571</v>
      </c>
      <c r="AJ10" s="5">
        <v>719.41288114908116</v>
      </c>
      <c r="AK10" s="5">
        <v>830.60680936944368</v>
      </c>
      <c r="AL10" s="5">
        <v>834.91074560824052</v>
      </c>
      <c r="AM10" s="5">
        <v>784.08210087634893</v>
      </c>
      <c r="AN10" s="5">
        <v>734.51775706258741</v>
      </c>
      <c r="AO10" s="5">
        <v>722.79393239129865</v>
      </c>
      <c r="AP10" s="5">
        <v>736.83288973576703</v>
      </c>
      <c r="AQ10" s="5">
        <v>729.14280527126471</v>
      </c>
      <c r="AR10" s="5">
        <v>712.68847327157823</v>
      </c>
      <c r="AS10" s="7">
        <v>761.33782193573893</v>
      </c>
      <c r="AT10" s="5">
        <v>779.42002637275641</v>
      </c>
      <c r="AU10" s="7">
        <v>1304.2322229818501</v>
      </c>
      <c r="AV10" s="5">
        <v>1402.351624801162</v>
      </c>
      <c r="AW10" s="5">
        <v>1706.0459960048158</v>
      </c>
      <c r="AX10" s="5">
        <v>1652.9613847127312</v>
      </c>
      <c r="AY10" s="5">
        <v>1882.0672367020184</v>
      </c>
      <c r="AZ10" s="5">
        <v>2263.6764455686543</v>
      </c>
      <c r="BA10" s="5">
        <v>2394.1261069079351</v>
      </c>
      <c r="BB10" s="5">
        <v>2526.6862064183038</v>
      </c>
      <c r="BC10" s="5">
        <v>2931.8895954415807</v>
      </c>
      <c r="BD10" s="5">
        <v>3208.9867537617847</v>
      </c>
      <c r="BE10" s="5">
        <v>3279.2096327176828</v>
      </c>
      <c r="BF10" s="5">
        <v>3208.5360268468012</v>
      </c>
      <c r="BG10" s="5">
        <v>3649.5360217934754</v>
      </c>
      <c r="BH10" s="5">
        <v>3820.6454921355453</v>
      </c>
      <c r="BI10" s="5">
        <v>3916.3558175576245</v>
      </c>
      <c r="BJ10" s="5">
        <v>4594.9537933959136</v>
      </c>
      <c r="BK10" s="5">
        <v>5353.7547262089129</v>
      </c>
      <c r="BL10" s="5">
        <v>5814.7351221239005</v>
      </c>
      <c r="BM10" s="5">
        <v>6153.7564632831145</v>
      </c>
      <c r="BN10" s="5">
        <v>8807.051661171352</v>
      </c>
      <c r="BO10" s="5">
        <v>9267.5997743719799</v>
      </c>
      <c r="BP10" s="5">
        <v>10010.515043819347</v>
      </c>
      <c r="BQ10" s="5">
        <v>11528.814960795356</v>
      </c>
      <c r="BR10" s="5">
        <v>12061.301802186554</v>
      </c>
      <c r="BS10" s="5">
        <v>12097.301650708918</v>
      </c>
      <c r="BT10" s="6">
        <v>11456.741929940246</v>
      </c>
      <c r="BU10" s="6">
        <v>10987.573612936829</v>
      </c>
      <c r="BV10" s="6">
        <v>11853.72880159638</v>
      </c>
      <c r="BW10" s="6">
        <v>11577.302065989732</v>
      </c>
      <c r="BX10" s="6">
        <v>10794.201019648395</v>
      </c>
      <c r="BY10" s="5">
        <v>10441.084809688</v>
      </c>
      <c r="BZ10" s="5">
        <v>18263.967968262132</v>
      </c>
      <c r="CA10" s="5">
        <v>20423.216124981845</v>
      </c>
    </row>
    <row r="11" spans="1:79" x14ac:dyDescent="0.2">
      <c r="A11" t="s">
        <v>33</v>
      </c>
      <c r="C11" t="s">
        <v>34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s="7">
        <v>64.077194221800724</v>
      </c>
      <c r="T11" s="7">
        <v>77.975914956705822</v>
      </c>
      <c r="U11" s="7">
        <v>139.60927827316047</v>
      </c>
      <c r="V11" s="7">
        <v>176.80791368635511</v>
      </c>
      <c r="W11" s="7">
        <v>211.46658972134952</v>
      </c>
      <c r="X11" s="7">
        <v>288.64334569163259</v>
      </c>
      <c r="Y11" s="7">
        <v>516.52790669373337</v>
      </c>
      <c r="Z11" s="7">
        <v>533.07188410687684</v>
      </c>
      <c r="AA11" s="7">
        <v>411.6094675984379</v>
      </c>
      <c r="AB11" s="7">
        <v>511.53548367898708</v>
      </c>
      <c r="AC11" s="7">
        <v>679.74012104974099</v>
      </c>
      <c r="AD11" s="7">
        <v>415.29030169895924</v>
      </c>
      <c r="AE11" s="7">
        <v>446.39833501645859</v>
      </c>
      <c r="AF11" s="5">
        <v>617.42061383235205</v>
      </c>
      <c r="AG11" s="5">
        <v>726.24014950512333</v>
      </c>
      <c r="AH11" s="5">
        <v>903.82410572227082</v>
      </c>
      <c r="AI11" s="5">
        <v>1036.4852158899932</v>
      </c>
      <c r="AJ11" s="5">
        <v>483.63361961893554</v>
      </c>
      <c r="AK11" s="5">
        <v>558.26279066757115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s="5">
        <v>543.74345100102005</v>
      </c>
      <c r="BA11" s="5">
        <v>613.34440543343067</v>
      </c>
      <c r="BB11" s="5">
        <v>473.58865661044166</v>
      </c>
      <c r="BC11" s="5">
        <v>506.87756738704792</v>
      </c>
      <c r="BD11" s="5">
        <v>495.88559593958968</v>
      </c>
      <c r="BE11" s="5">
        <v>637.30862394740541</v>
      </c>
      <c r="BF11" s="5">
        <v>793.23496006113851</v>
      </c>
      <c r="BG11" s="5">
        <v>1035.8375961572235</v>
      </c>
      <c r="BH11" s="5">
        <v>1020.3819257559745</v>
      </c>
      <c r="BI11" s="5">
        <v>897.79283181347239</v>
      </c>
      <c r="BJ11" s="5">
        <v>844.97363284256971</v>
      </c>
      <c r="BK11" s="5">
        <v>1277.0271250228932</v>
      </c>
      <c r="BL11" t="s">
        <v>6</v>
      </c>
      <c r="BM11" t="s">
        <v>6</v>
      </c>
      <c r="BN11" t="s">
        <v>6</v>
      </c>
      <c r="BO11" s="5">
        <v>2770.7336247882986</v>
      </c>
      <c r="BP11" s="5">
        <v>3612.7924392537229</v>
      </c>
      <c r="BQ11" s="5">
        <v>3342.7597961871115</v>
      </c>
      <c r="BR11" t="s">
        <v>6</v>
      </c>
      <c r="BS11" t="s">
        <v>6</v>
      </c>
      <c r="BT11" t="s">
        <v>6</v>
      </c>
      <c r="BU11" t="s">
        <v>6</v>
      </c>
      <c r="BV11" t="s">
        <v>6</v>
      </c>
      <c r="BW11" t="s">
        <v>6</v>
      </c>
      <c r="BX11" t="s">
        <v>6</v>
      </c>
      <c r="BY11" s="6">
        <v>1254.7460727633841</v>
      </c>
      <c r="BZ11" s="6">
        <v>1573.6827773146888</v>
      </c>
      <c r="CA11" t="s">
        <v>6</v>
      </c>
    </row>
    <row r="12" spans="1:79" x14ac:dyDescent="0.2">
      <c r="A12" t="s">
        <v>35</v>
      </c>
      <c r="C12" t="s">
        <v>36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s="5">
        <v>118.75056936778422</v>
      </c>
      <c r="L12" s="5">
        <v>173.11334145289581</v>
      </c>
      <c r="M12" s="5">
        <v>230.41462282378191</v>
      </c>
      <c r="N12" s="5">
        <v>268.58483379662147</v>
      </c>
      <c r="O12" s="5">
        <v>267.96644951922667</v>
      </c>
      <c r="P12" s="5">
        <v>305.60520662199599</v>
      </c>
      <c r="Q12" s="5">
        <v>324.35154117117048</v>
      </c>
      <c r="R12" s="5">
        <v>426.79034825886635</v>
      </c>
      <c r="S12" s="5">
        <v>383.44143179499008</v>
      </c>
      <c r="T12" s="5">
        <v>334.44482299282038</v>
      </c>
      <c r="U12" s="5">
        <v>363.3387287929549</v>
      </c>
      <c r="V12" s="5">
        <v>379.07054243582184</v>
      </c>
      <c r="W12" s="7">
        <v>487.6796486704099</v>
      </c>
      <c r="X12" s="7">
        <v>442.81270001502747</v>
      </c>
      <c r="Y12" s="5">
        <v>457.55488939131203</v>
      </c>
      <c r="Z12" s="5">
        <v>548.63763431123277</v>
      </c>
      <c r="AA12" s="5">
        <v>606.85277781648006</v>
      </c>
      <c r="AB12" s="5">
        <v>689.70113693069561</v>
      </c>
      <c r="AC12" s="5">
        <v>812.76347351970469</v>
      </c>
      <c r="AD12" s="5">
        <v>1193.4626864240263</v>
      </c>
      <c r="AE12" s="5">
        <v>1675.2007835588918</v>
      </c>
      <c r="AF12" s="5">
        <v>1921.1077523549566</v>
      </c>
      <c r="AG12" s="5">
        <v>1711.1140133951267</v>
      </c>
      <c r="AH12" s="5">
        <v>1714.9530958142736</v>
      </c>
      <c r="AI12" s="5">
        <v>1973.8086347551625</v>
      </c>
      <c r="AJ12" s="5">
        <v>2011.7666676376703</v>
      </c>
      <c r="AK12" s="5">
        <v>2084.5439392825374</v>
      </c>
      <c r="AL12" s="5">
        <v>1517.1117530386928</v>
      </c>
      <c r="AM12" s="5">
        <v>1363.6700969026374</v>
      </c>
      <c r="AN12" s="5">
        <v>1953.5673607526935</v>
      </c>
      <c r="AO12" s="5">
        <v>1710.2791794617408</v>
      </c>
      <c r="AP12" s="5">
        <v>1711.2819516762299</v>
      </c>
      <c r="AQ12" s="5">
        <v>1846.7917609162623</v>
      </c>
      <c r="AR12" s="5">
        <v>1997.0250142368295</v>
      </c>
      <c r="AS12" s="5">
        <v>1961.1526334770381</v>
      </c>
      <c r="AT12" s="5">
        <v>2059.5822280693283</v>
      </c>
      <c r="AU12" s="5">
        <v>2043.2252983788599</v>
      </c>
      <c r="AV12" s="5">
        <v>2155.7038337867575</v>
      </c>
      <c r="AW12" s="5">
        <v>2213.0384001977959</v>
      </c>
      <c r="AX12" s="5">
        <v>2038.2040405535879</v>
      </c>
      <c r="AY12" s="5">
        <v>2032.7598971041641</v>
      </c>
      <c r="AZ12" s="5">
        <v>2128.9514265952453</v>
      </c>
      <c r="BA12" s="5">
        <v>2154.3387151593229</v>
      </c>
      <c r="BB12" s="5">
        <v>1523.4358297403589</v>
      </c>
      <c r="BC12" s="5">
        <v>1677.5906529169965</v>
      </c>
      <c r="BD12" s="5">
        <v>2499.1560808156078</v>
      </c>
      <c r="BE12" s="5">
        <v>2377.7935182447695</v>
      </c>
      <c r="BF12" s="5">
        <v>2518.6634997992214</v>
      </c>
      <c r="BG12" s="5">
        <v>2447.9784314990934</v>
      </c>
      <c r="BH12" s="5">
        <v>2540.4133756031056</v>
      </c>
      <c r="BI12" s="5">
        <v>2564.6661445894265</v>
      </c>
      <c r="BJ12" s="5">
        <v>2641.1839776326483</v>
      </c>
      <c r="BK12" s="5">
        <v>2945.9815579204987</v>
      </c>
      <c r="BL12" s="5">
        <v>3146.5173063209609</v>
      </c>
      <c r="BM12" s="5">
        <v>3367.4400892563181</v>
      </c>
      <c r="BN12" s="5">
        <v>3391.9891279971462</v>
      </c>
      <c r="BO12" s="5">
        <v>3635.9463091546904</v>
      </c>
      <c r="BP12" s="5">
        <v>4153.8689398952274</v>
      </c>
      <c r="BQ12" s="5">
        <v>4118.7552486805644</v>
      </c>
      <c r="BR12" s="5">
        <v>3802.7463174659747</v>
      </c>
      <c r="BS12" s="5">
        <v>3825.9180021952088</v>
      </c>
      <c r="BT12" s="5">
        <v>3938.4589694478959</v>
      </c>
      <c r="BU12" s="5">
        <v>3965.9697792280867</v>
      </c>
      <c r="BV12" s="5">
        <v>4049.1071141569696</v>
      </c>
      <c r="BW12" s="5">
        <v>5190.1095404454227</v>
      </c>
      <c r="BX12" s="5">
        <v>5341.8675672596119</v>
      </c>
      <c r="BY12" s="5">
        <v>5308.9170291765631</v>
      </c>
      <c r="BZ12" s="5">
        <v>5184.9283995423893</v>
      </c>
      <c r="CA12" s="5">
        <v>5318.1661482444497</v>
      </c>
    </row>
    <row r="13" spans="1:79" x14ac:dyDescent="0.2">
      <c r="A13" t="s">
        <v>37</v>
      </c>
      <c r="C13" t="s">
        <v>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s="7">
        <v>75.926696396535647</v>
      </c>
      <c r="Q13" s="7">
        <v>57.867845176610935</v>
      </c>
      <c r="R13" s="7">
        <v>58.091634245980785</v>
      </c>
      <c r="S13" s="7">
        <v>70.071167111455779</v>
      </c>
      <c r="T13" s="5">
        <v>55.004663225886162</v>
      </c>
      <c r="U13" s="5">
        <v>57.664489876525053</v>
      </c>
      <c r="V13" s="5">
        <v>61.803616742662086</v>
      </c>
      <c r="W13" s="5">
        <v>69.338796897217819</v>
      </c>
      <c r="X13" s="5">
        <v>66.126966051510408</v>
      </c>
      <c r="Y13" s="5">
        <v>84.499966181957859</v>
      </c>
      <c r="Z13" s="5">
        <v>87.758158423555372</v>
      </c>
      <c r="AA13" s="5">
        <v>99.063981057085797</v>
      </c>
      <c r="AB13" s="5">
        <v>97.340234340860718</v>
      </c>
      <c r="AC13" s="5">
        <v>98.618910909145384</v>
      </c>
      <c r="AD13" s="5">
        <v>140.18396112984522</v>
      </c>
      <c r="AE13" s="5">
        <v>161.91080490856135</v>
      </c>
      <c r="AF13" s="5">
        <v>214.10423515285285</v>
      </c>
      <c r="AG13" s="5">
        <v>238.10885019546254</v>
      </c>
      <c r="AH13" s="5">
        <v>228.24087550134465</v>
      </c>
      <c r="AI13" s="5">
        <v>243.16721898113929</v>
      </c>
      <c r="AJ13" s="5">
        <v>321.01064158581732</v>
      </c>
      <c r="AK13" s="5">
        <v>485.07878443008559</v>
      </c>
      <c r="AL13" s="5">
        <v>596.96009231867583</v>
      </c>
      <c r="AM13" s="5">
        <v>408.12860691320714</v>
      </c>
      <c r="AN13" s="5">
        <v>353.82101801777526</v>
      </c>
      <c r="AO13" s="5">
        <v>303.68469485550395</v>
      </c>
      <c r="AP13" s="5">
        <v>275.30511201472075</v>
      </c>
      <c r="AQ13" s="5">
        <v>318.51663082699031</v>
      </c>
      <c r="AR13" s="5">
        <v>328.77559832522701</v>
      </c>
      <c r="AS13" s="5">
        <v>302.3291380276072</v>
      </c>
      <c r="AT13" s="5">
        <v>309.08364947644628</v>
      </c>
      <c r="AU13" s="5">
        <v>310.75142793039242</v>
      </c>
      <c r="AV13" s="5">
        <v>323.36904053365339</v>
      </c>
      <c r="AW13" s="5">
        <v>334.70734483650278</v>
      </c>
      <c r="AX13" s="5">
        <v>339.9871893562057</v>
      </c>
      <c r="AY13" s="5">
        <v>391.04819427511262</v>
      </c>
      <c r="AZ13" s="5">
        <v>386.24120320305542</v>
      </c>
      <c r="BA13" s="5">
        <v>393.91953852223708</v>
      </c>
      <c r="BB13" s="5">
        <v>389.95364990516913</v>
      </c>
      <c r="BC13" s="5">
        <v>407.44127429443512</v>
      </c>
      <c r="BD13" s="5">
        <v>423.45699241194518</v>
      </c>
      <c r="BE13" s="5">
        <v>419.23994933919647</v>
      </c>
      <c r="BF13" s="5">
        <v>436.26021341429157</v>
      </c>
      <c r="BG13" s="5">
        <v>444.14720432800527</v>
      </c>
      <c r="BH13" s="5">
        <v>477.81390175500275</v>
      </c>
      <c r="BI13" s="5">
        <v>504.0096952290333</v>
      </c>
      <c r="BJ13" s="5">
        <v>465.00515079580771</v>
      </c>
      <c r="BK13" s="5">
        <v>505.60896627803373</v>
      </c>
      <c r="BL13" s="5">
        <v>521.4439067417045</v>
      </c>
      <c r="BM13" s="5">
        <v>540.9878479179323</v>
      </c>
      <c r="BN13" s="5">
        <v>645.33445395235458</v>
      </c>
      <c r="BO13" s="5">
        <v>651.8674273552142</v>
      </c>
      <c r="BP13" s="5">
        <v>717.68173113220075</v>
      </c>
      <c r="BQ13" s="5">
        <v>857.42690203487984</v>
      </c>
      <c r="BR13" s="5">
        <v>1022.9311946508258</v>
      </c>
      <c r="BS13" s="5">
        <v>1089.1961518920539</v>
      </c>
      <c r="BT13" s="5">
        <v>1011.1538486606858</v>
      </c>
      <c r="BU13" s="5">
        <v>1015.2161432851319</v>
      </c>
      <c r="BV13" s="5">
        <v>1248.4627375618372</v>
      </c>
      <c r="BW13" s="5">
        <v>1307.3326012844027</v>
      </c>
      <c r="BX13" s="5">
        <v>1312.3728527545404</v>
      </c>
      <c r="BY13" s="5">
        <v>1253.638778119926</v>
      </c>
      <c r="BZ13" s="5">
        <v>1208.2041897299421</v>
      </c>
      <c r="CA13" s="5">
        <v>1229.9259539325608</v>
      </c>
    </row>
    <row r="14" spans="1:79" x14ac:dyDescent="0.2">
      <c r="A14" s="4" t="s">
        <v>9</v>
      </c>
    </row>
    <row r="15" spans="1:79" x14ac:dyDescent="0.2">
      <c r="A15" t="s">
        <v>38</v>
      </c>
      <c r="C15" t="s">
        <v>39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s="5">
        <v>246.0145577142836</v>
      </c>
      <c r="AR15" s="5">
        <v>315.71775872609061</v>
      </c>
      <c r="AS15" s="5">
        <v>274.86611769257911</v>
      </c>
      <c r="AT15" s="5">
        <v>164.47039463653437</v>
      </c>
      <c r="AU15" s="5">
        <v>143.86317620749253</v>
      </c>
      <c r="AV15" s="5">
        <v>2303.6497902533615</v>
      </c>
      <c r="AW15" s="5">
        <v>10008.408396152705</v>
      </c>
      <c r="AX15" s="5">
        <v>1079.7152003965398</v>
      </c>
      <c r="AY15" s="5">
        <v>808.82255113991062</v>
      </c>
      <c r="AZ15" s="5">
        <v>1296.3241722297712</v>
      </c>
      <c r="BA15" s="5">
        <v>399.83844596221064</v>
      </c>
      <c r="BB15" s="5">
        <v>5109.9343156342156</v>
      </c>
      <c r="BC15" s="5">
        <v>2367.033259932854</v>
      </c>
      <c r="BD15" s="5">
        <v>1426.3250683129356</v>
      </c>
      <c r="BE15" s="5">
        <v>1462.0529612693817</v>
      </c>
      <c r="BF15" s="5">
        <v>1930.7493517491991</v>
      </c>
      <c r="BG15" s="5">
        <v>1837.7647134052738</v>
      </c>
      <c r="BH15" s="5">
        <v>2603.7820414081198</v>
      </c>
      <c r="BI15" s="5">
        <v>3058.5092638386191</v>
      </c>
      <c r="BJ15" s="5">
        <v>2682.5368988842401</v>
      </c>
      <c r="BK15" s="5">
        <v>3631.4106568426801</v>
      </c>
      <c r="BL15" s="5">
        <v>3533.2664539697057</v>
      </c>
      <c r="BM15" s="5">
        <v>3780.7937817536954</v>
      </c>
      <c r="BN15" s="5">
        <v>3540.0749327453459</v>
      </c>
      <c r="BO15" s="5">
        <v>3715.3583090065085</v>
      </c>
      <c r="BP15" s="5">
        <v>5074.5418148981898</v>
      </c>
      <c r="BQ15" s="5">
        <v>5415.15644221607</v>
      </c>
      <c r="BR15" s="5">
        <v>3187.6189110101118</v>
      </c>
      <c r="BS15" s="5">
        <v>2546.6551333017155</v>
      </c>
      <c r="BT15" s="5">
        <v>2203.3624745745283</v>
      </c>
      <c r="BU15" s="5">
        <v>1816.6123001879628</v>
      </c>
      <c r="BV15" s="5">
        <v>1659.9252976623459</v>
      </c>
      <c r="BW15" s="5">
        <v>1453.0302840543466</v>
      </c>
      <c r="BX15" s="5">
        <v>1238.1327827799907</v>
      </c>
      <c r="BY15" s="5">
        <v>1240.2989510786344</v>
      </c>
      <c r="BZ15" s="5">
        <v>1247.8463450851725</v>
      </c>
      <c r="CA15" s="5">
        <v>914.14247679979201</v>
      </c>
    </row>
    <row r="16" spans="1:79" x14ac:dyDescent="0.2">
      <c r="A16" t="s">
        <v>40</v>
      </c>
      <c r="C16" t="s">
        <v>2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s="7">
        <v>16.729146140810652</v>
      </c>
      <c r="Z16" s="7">
        <v>16.716671401402319</v>
      </c>
      <c r="AA16" s="5">
        <v>18.249977608157074</v>
      </c>
      <c r="AB16" s="5">
        <v>19.812267029726033</v>
      </c>
      <c r="AC16" s="5">
        <v>18.737187153650499</v>
      </c>
      <c r="AD16" s="5">
        <v>17.832578487355185</v>
      </c>
      <c r="AE16" s="5">
        <v>15.575069309068789</v>
      </c>
      <c r="AF16" s="5">
        <v>20.633253565350159</v>
      </c>
      <c r="AG16" s="5">
        <v>14.732779034893504</v>
      </c>
      <c r="AH16" s="5">
        <v>26.110634374896595</v>
      </c>
      <c r="AI16" s="5">
        <v>31.387418199149938</v>
      </c>
      <c r="AJ16" s="5">
        <v>29.142668162287055</v>
      </c>
      <c r="AK16" s="5">
        <v>32.62387872303384</v>
      </c>
      <c r="AL16" s="5">
        <v>43.222643729441607</v>
      </c>
      <c r="AM16" s="5">
        <v>53.731888312359445</v>
      </c>
      <c r="AN16" s="5">
        <v>50.945179398115954</v>
      </c>
      <c r="AO16" s="5">
        <v>51.875234894926258</v>
      </c>
      <c r="AP16" s="5">
        <v>61.824389607047181</v>
      </c>
      <c r="AQ16" s="5">
        <v>61.441808414355549</v>
      </c>
      <c r="AR16" s="5">
        <v>50.931973261569688</v>
      </c>
      <c r="AS16" s="5">
        <v>49.458113432504895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t="s">
        <v>6</v>
      </c>
      <c r="BB16" s="5">
        <v>30.661820351131269</v>
      </c>
      <c r="BC16" s="5">
        <v>27.653914373793075</v>
      </c>
      <c r="BD16" s="5">
        <v>24.767424293737086</v>
      </c>
      <c r="BE16" s="5">
        <v>45.561211577333182</v>
      </c>
      <c r="BF16" s="5">
        <v>49.736647128075489</v>
      </c>
      <c r="BG16" s="5">
        <v>54.205156306464445</v>
      </c>
      <c r="BH16" s="5">
        <v>54.962532490038015</v>
      </c>
      <c r="BI16" s="5">
        <v>54.94260018830078</v>
      </c>
      <c r="BJ16" t="s">
        <v>6</v>
      </c>
      <c r="BK16" s="5">
        <v>59.528798853382376</v>
      </c>
      <c r="BL16" t="s">
        <v>6</v>
      </c>
      <c r="BM16" t="s">
        <v>6</v>
      </c>
      <c r="BN16" t="s">
        <v>6</v>
      </c>
      <c r="BO16" s="5">
        <v>72.54866366671645</v>
      </c>
      <c r="BP16" s="5">
        <v>76.858796632129611</v>
      </c>
      <c r="BQ16" s="5">
        <v>83.625367935177991</v>
      </c>
      <c r="BR16" s="5">
        <v>97.57104101270032</v>
      </c>
      <c r="BS16" s="5">
        <v>86.326149059032389</v>
      </c>
      <c r="BT16" s="5">
        <v>122.05616358285104</v>
      </c>
      <c r="BU16" s="5">
        <v>89.547279412442691</v>
      </c>
      <c r="BV16" s="5">
        <v>71.79211079049621</v>
      </c>
      <c r="BW16" s="5">
        <v>72.161573267113695</v>
      </c>
      <c r="BX16" s="5">
        <v>92.74751473511246</v>
      </c>
      <c r="BY16" s="5">
        <v>116.18425311897016</v>
      </c>
      <c r="BZ16" s="5">
        <v>149.03528800474317</v>
      </c>
      <c r="CA16" s="5">
        <v>151.0237844857233</v>
      </c>
    </row>
    <row r="17" spans="1:79" x14ac:dyDescent="0.2">
      <c r="A17" t="s">
        <v>41</v>
      </c>
      <c r="C17" t="s">
        <v>5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s="5">
        <v>15.914023130705107</v>
      </c>
      <c r="AG17" s="5">
        <v>36.343509007547901</v>
      </c>
      <c r="AH17" s="5">
        <v>54.496100782146904</v>
      </c>
      <c r="AI17" s="5">
        <v>59.796920065183166</v>
      </c>
      <c r="AJ17" s="5">
        <v>54.10910186922117</v>
      </c>
      <c r="AK17" s="5">
        <v>45.279180289646476</v>
      </c>
      <c r="AL17" s="5">
        <v>45.337049908499729</v>
      </c>
      <c r="AM17" s="5">
        <v>52.768396076615709</v>
      </c>
      <c r="AN17" s="5">
        <v>57.529022808528403</v>
      </c>
      <c r="AO17" s="5">
        <v>84.403914799264129</v>
      </c>
      <c r="AP17" s="5">
        <v>147.77719783911598</v>
      </c>
      <c r="AQ17" s="5">
        <v>188.6251547319979</v>
      </c>
      <c r="AR17" s="5">
        <v>204.26585485220221</v>
      </c>
      <c r="AS17" s="5">
        <v>257.35490487978853</v>
      </c>
      <c r="AT17" s="5">
        <v>275.851641046537</v>
      </c>
      <c r="AU17" s="5">
        <v>256.04071010672118</v>
      </c>
      <c r="AV17" s="5">
        <v>268.31451033912657</v>
      </c>
      <c r="AW17" s="5">
        <v>246.85681695666909</v>
      </c>
      <c r="AX17" s="5">
        <v>224.4888598435636</v>
      </c>
      <c r="AY17" s="5">
        <v>207.2144428038583</v>
      </c>
      <c r="AZ17" s="5">
        <v>239.02351622355849</v>
      </c>
      <c r="BA17" s="5">
        <v>292.59875292386442</v>
      </c>
      <c r="BB17" s="5">
        <v>278.33425874761969</v>
      </c>
      <c r="BC17" s="5">
        <v>307.99193180527158</v>
      </c>
      <c r="BD17" s="5">
        <v>376.78861462135905</v>
      </c>
      <c r="BE17" s="5">
        <v>401.59114890513848</v>
      </c>
      <c r="BF17" s="5">
        <v>387.4020758463742</v>
      </c>
      <c r="BG17" s="5">
        <v>358.29120778276666</v>
      </c>
      <c r="BH17" s="5">
        <v>324.68285152023429</v>
      </c>
      <c r="BI17" s="5">
        <v>319.64469558899242</v>
      </c>
      <c r="BJ17" s="5">
        <v>352.52167653367587</v>
      </c>
      <c r="BK17" s="5">
        <v>377.30217525345131</v>
      </c>
      <c r="BL17" s="5">
        <v>363.57943708674094</v>
      </c>
      <c r="BM17" s="5">
        <v>340.89172223909765</v>
      </c>
      <c r="BN17" s="5">
        <v>329.66067261658395</v>
      </c>
      <c r="BO17" s="5">
        <v>307.29618034491551</v>
      </c>
      <c r="BP17" s="5">
        <v>299.91911527333082</v>
      </c>
      <c r="BQ17" s="5">
        <v>346.9315989956973</v>
      </c>
      <c r="BR17" s="5">
        <v>420.82746067826093</v>
      </c>
      <c r="BS17" s="5">
        <v>590.69263755375425</v>
      </c>
      <c r="BT17" s="5">
        <v>551.98586186258478</v>
      </c>
      <c r="BU17" s="5">
        <v>501.82419906536887</v>
      </c>
      <c r="BV17" s="5">
        <v>531.74077364314564</v>
      </c>
      <c r="BW17" s="5">
        <v>537.96902268241104</v>
      </c>
      <c r="BX17" s="5">
        <v>523.11551666570801</v>
      </c>
      <c r="BY17" s="5">
        <v>499.26984607256594</v>
      </c>
      <c r="BZ17" s="5">
        <v>485.56787004692586</v>
      </c>
      <c r="CA17" s="5">
        <v>555.80609305297958</v>
      </c>
    </row>
    <row r="18" spans="1:79" x14ac:dyDescent="0.2">
      <c r="A18" t="s">
        <v>42</v>
      </c>
      <c r="C18" t="s">
        <v>0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s="5">
        <v>6.3057618331618945</v>
      </c>
      <c r="P18" s="5">
        <v>6.8918465788651062</v>
      </c>
      <c r="Q18" s="5">
        <v>20.200191792215836</v>
      </c>
      <c r="R18" s="5">
        <v>20.61523296717402</v>
      </c>
      <c r="S18" s="5">
        <v>20.538987765515305</v>
      </c>
      <c r="T18" s="5">
        <v>13.551768744725104</v>
      </c>
      <c r="U18" s="5">
        <v>14.778205779164367</v>
      </c>
      <c r="V18" s="5">
        <v>14.627005729161251</v>
      </c>
      <c r="W18" s="5">
        <v>15.024070588774691</v>
      </c>
      <c r="X18" s="5">
        <v>15.393569910476909</v>
      </c>
      <c r="Y18" s="5">
        <v>16.730576663844754</v>
      </c>
      <c r="Z18" s="5">
        <v>16.9451890312335</v>
      </c>
      <c r="AA18" s="5">
        <v>18.199883190070402</v>
      </c>
      <c r="AB18" s="5">
        <v>18.378595846448611</v>
      </c>
      <c r="AC18" s="5">
        <v>18.825863945441931</v>
      </c>
      <c r="AD18" s="5">
        <v>40.665811481264249</v>
      </c>
      <c r="AE18" s="5">
        <v>53.524517110074299</v>
      </c>
      <c r="AF18" s="5">
        <v>49.647190606545173</v>
      </c>
      <c r="AG18" s="5">
        <v>59.529630154244963</v>
      </c>
      <c r="AH18" s="5">
        <v>48.288316433067749</v>
      </c>
      <c r="AI18" s="5">
        <v>47.186183982161822</v>
      </c>
      <c r="AJ18" s="5">
        <v>54.118486782739332</v>
      </c>
      <c r="AK18" s="5">
        <v>56.594838265157215</v>
      </c>
      <c r="AL18" s="5">
        <v>54.130594811674641</v>
      </c>
      <c r="AM18" s="5">
        <v>54.456358350229472</v>
      </c>
      <c r="AN18" s="5">
        <v>52.641616950235274</v>
      </c>
      <c r="AO18" s="5">
        <v>78.669907915865025</v>
      </c>
      <c r="AP18" s="5">
        <v>69.513072029353836</v>
      </c>
      <c r="AQ18" s="5">
        <v>74.515081985478048</v>
      </c>
      <c r="AR18" s="5">
        <v>93.699217443597277</v>
      </c>
      <c r="AS18" s="5">
        <v>101.60563621026913</v>
      </c>
      <c r="AT18" s="5">
        <v>84.798468141220567</v>
      </c>
      <c r="AU18" s="5">
        <v>83.061791479381824</v>
      </c>
      <c r="AV18" s="5">
        <v>75.210374177527697</v>
      </c>
      <c r="AW18" s="5">
        <v>58.894371148389865</v>
      </c>
      <c r="AX18" s="5">
        <v>60.02611623380983</v>
      </c>
      <c r="AY18" s="5">
        <v>58.421086039355423</v>
      </c>
      <c r="AZ18" s="5">
        <v>67.615080515785479</v>
      </c>
      <c r="BA18" s="5">
        <v>66.631409244717148</v>
      </c>
      <c r="BB18" s="5">
        <v>74.291592109763371</v>
      </c>
      <c r="BC18" s="5">
        <v>75.678103480790185</v>
      </c>
      <c r="BD18" s="5">
        <v>74.554430184397603</v>
      </c>
      <c r="BE18" s="5">
        <v>79.993334851606491</v>
      </c>
      <c r="BF18" s="5">
        <v>78.133411476906588</v>
      </c>
      <c r="BG18" s="5">
        <v>92.275393227284098</v>
      </c>
      <c r="BH18" s="5">
        <v>97.33317235411721</v>
      </c>
      <c r="BI18" s="5">
        <v>92.742922035828741</v>
      </c>
      <c r="BJ18" s="5">
        <v>126.47470768063084</v>
      </c>
      <c r="BK18" s="5">
        <v>115.88397985830464</v>
      </c>
      <c r="BL18" s="5">
        <v>129.60544703442142</v>
      </c>
      <c r="BM18" s="5">
        <v>133.08204043347075</v>
      </c>
      <c r="BN18" s="5">
        <v>138.4981820123227</v>
      </c>
      <c r="BO18" s="5">
        <v>153.56422233915734</v>
      </c>
      <c r="BP18" s="5">
        <v>166.23346188653505</v>
      </c>
      <c r="BQ18" s="5">
        <v>177.86412505894324</v>
      </c>
      <c r="BR18" s="5">
        <v>176.38661209349135</v>
      </c>
      <c r="BS18" s="5">
        <v>177.87809128715372</v>
      </c>
      <c r="BT18" s="5">
        <v>220.91347372097908</v>
      </c>
      <c r="BU18" s="5">
        <v>329.644447715007</v>
      </c>
      <c r="BV18" s="5">
        <v>420.42563477863081</v>
      </c>
      <c r="BW18" s="5">
        <v>433.00779903041325</v>
      </c>
      <c r="BX18" s="5">
        <v>482.52534202889188</v>
      </c>
      <c r="BY18" s="5">
        <v>582.73943976503017</v>
      </c>
      <c r="BZ18" s="5">
        <v>827.15301886182306</v>
      </c>
      <c r="CA18" s="5">
        <v>1002.3454328566442</v>
      </c>
    </row>
    <row r="19" spans="1:79" x14ac:dyDescent="0.2">
      <c r="A19" t="s">
        <v>43</v>
      </c>
      <c r="C19" t="s">
        <v>1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s="5">
        <v>15.800572239242999</v>
      </c>
      <c r="U19" s="5">
        <v>16.661374391549334</v>
      </c>
      <c r="V19" s="5">
        <v>17.50149000089316</v>
      </c>
      <c r="W19" s="5">
        <v>17.994158608161086</v>
      </c>
      <c r="X19" s="5">
        <v>22.280753378283531</v>
      </c>
      <c r="Y19" t="s">
        <v>6</v>
      </c>
      <c r="Z19" s="5">
        <v>16.932937496596296</v>
      </c>
      <c r="AA19" s="5">
        <v>22.33565265902514</v>
      </c>
      <c r="AB19" s="5">
        <v>31.705352394853005</v>
      </c>
      <c r="AC19" s="5">
        <v>34.969860481095694</v>
      </c>
      <c r="AD19" s="5">
        <v>33.568922816442473</v>
      </c>
      <c r="AE19" s="5">
        <v>40.203582822211459</v>
      </c>
      <c r="AF19" s="5">
        <v>54.959882363331893</v>
      </c>
      <c r="AG19" s="5">
        <v>54.142732760138522</v>
      </c>
      <c r="AH19" s="5">
        <v>46.559689047301063</v>
      </c>
      <c r="AI19" s="5">
        <v>62.815861740706133</v>
      </c>
      <c r="AJ19" s="5">
        <v>60.504610104725501</v>
      </c>
      <c r="AK19" s="5">
        <v>69.859442865393788</v>
      </c>
      <c r="AL19" s="5">
        <v>62.532954682936719</v>
      </c>
      <c r="AM19" s="5">
        <v>61.367422557799451</v>
      </c>
      <c r="AN19" s="5">
        <v>64.146233240242296</v>
      </c>
      <c r="AO19" s="5">
        <v>64.103010860850333</v>
      </c>
      <c r="AP19" s="5">
        <v>57.615000510717408</v>
      </c>
      <c r="AQ19" s="5">
        <v>69.715160921420548</v>
      </c>
      <c r="AR19" s="5">
        <v>78.073644411151648</v>
      </c>
      <c r="AS19" s="5">
        <v>82.283540945546463</v>
      </c>
      <c r="AT19" s="5">
        <v>84.286930886831144</v>
      </c>
      <c r="AU19" s="5">
        <v>86.628506669794859</v>
      </c>
      <c r="AV19" s="5">
        <v>85.635981072337245</v>
      </c>
      <c r="AW19" s="5">
        <v>89.668531029661054</v>
      </c>
      <c r="AX19" s="5">
        <v>74.674136042929419</v>
      </c>
      <c r="AY19" s="5">
        <v>86.526905070581051</v>
      </c>
      <c r="AZ19" s="5">
        <v>93.372784494286336</v>
      </c>
      <c r="BA19" s="5">
        <v>100.13028606926254</v>
      </c>
      <c r="BB19" s="5">
        <v>104.95309594917916</v>
      </c>
      <c r="BC19" s="5">
        <v>90.264725823090814</v>
      </c>
      <c r="BD19" s="5">
        <v>119.68383133937861</v>
      </c>
      <c r="BE19" s="5">
        <v>114.75231118897584</v>
      </c>
      <c r="BF19" s="5">
        <v>116.61154535155804</v>
      </c>
      <c r="BG19" s="5">
        <v>113.30211041625034</v>
      </c>
      <c r="BH19" s="5">
        <v>108.54996597831565</v>
      </c>
      <c r="BI19" s="5">
        <v>90.669299799344429</v>
      </c>
      <c r="BJ19" s="5">
        <v>91.088289724262708</v>
      </c>
      <c r="BK19" s="5">
        <v>75.994737476247991</v>
      </c>
      <c r="BL19" t="s">
        <v>6</v>
      </c>
      <c r="BM19" t="s">
        <v>6</v>
      </c>
      <c r="BN19" t="s">
        <v>6</v>
      </c>
      <c r="BO19" s="5">
        <v>81.536013311143066</v>
      </c>
      <c r="BP19" s="5">
        <v>84.049242918358274</v>
      </c>
      <c r="BQ19" s="5">
        <v>81.801681920069726</v>
      </c>
      <c r="BR19" s="5">
        <v>83.818675064912455</v>
      </c>
      <c r="BS19" s="5">
        <v>83.868897527339826</v>
      </c>
      <c r="BT19" s="6">
        <v>72.268044216646516</v>
      </c>
      <c r="BU19" s="5">
        <v>78.781456367785637</v>
      </c>
      <c r="BV19" s="5">
        <v>106.40200316699752</v>
      </c>
      <c r="BW19" s="5">
        <v>82.05705515300167</v>
      </c>
      <c r="BX19" s="5">
        <v>79.151891500456188</v>
      </c>
      <c r="BY19" s="5">
        <v>102.12172931970478</v>
      </c>
      <c r="BZ19" s="5">
        <v>145.16802165114811</v>
      </c>
      <c r="CA19" s="5">
        <v>160.43978316888985</v>
      </c>
    </row>
    <row r="20" spans="1:79" x14ac:dyDescent="0.2">
      <c r="A20" t="s">
        <v>44</v>
      </c>
      <c r="C20" t="s">
        <v>2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s="5">
        <v>166.85244400878662</v>
      </c>
      <c r="Z20" s="5">
        <v>168.93107217658297</v>
      </c>
      <c r="AA20" s="5">
        <v>165.61454436917688</v>
      </c>
      <c r="AB20" s="5">
        <v>168.62706749422233</v>
      </c>
      <c r="AC20" s="5">
        <v>170.01025941740573</v>
      </c>
      <c r="AD20" s="5">
        <v>180.05942607783771</v>
      </c>
      <c r="AE20" s="5">
        <v>189.2609223534603</v>
      </c>
      <c r="AF20" s="5">
        <v>193.09508223247457</v>
      </c>
      <c r="AG20" s="5">
        <v>204.20910533497317</v>
      </c>
      <c r="AH20" s="5">
        <v>223.39526441956468</v>
      </c>
      <c r="AI20" s="5">
        <v>228.92594676831831</v>
      </c>
      <c r="AJ20" s="5">
        <v>320.1635210781651</v>
      </c>
      <c r="AK20" s="5">
        <v>374.1772906837586</v>
      </c>
      <c r="AL20" s="5">
        <v>367.18226705341317</v>
      </c>
      <c r="AM20" s="5">
        <v>370.31448850946941</v>
      </c>
      <c r="AN20" s="5">
        <v>320.40785097775</v>
      </c>
      <c r="AO20" s="5">
        <v>286.80977550345438</v>
      </c>
      <c r="AP20" s="5">
        <v>246.79855246196507</v>
      </c>
      <c r="AQ20" s="5">
        <v>227.63055417843282</v>
      </c>
      <c r="AR20" s="5">
        <v>235.8836176375886</v>
      </c>
      <c r="AS20" s="5">
        <v>244.834524138897</v>
      </c>
      <c r="AT20" s="5">
        <v>250.19195133362723</v>
      </c>
      <c r="AU20" s="5">
        <v>242.16098685946019</v>
      </c>
      <c r="AV20" s="5">
        <v>244.89382403277264</v>
      </c>
      <c r="AW20" s="5">
        <v>199.75925715834239</v>
      </c>
      <c r="AX20" s="5">
        <v>197.85730607125933</v>
      </c>
      <c r="AY20" s="5">
        <v>200.89124113775284</v>
      </c>
      <c r="AZ20" s="5">
        <v>222.06270550983982</v>
      </c>
      <c r="BA20" s="5">
        <v>251.5226496502714</v>
      </c>
      <c r="BB20" s="5">
        <v>271.68030439993572</v>
      </c>
      <c r="BC20" s="5">
        <v>263.87715322502595</v>
      </c>
      <c r="BD20" s="5">
        <v>262.86424346258059</v>
      </c>
      <c r="BE20" s="5">
        <v>284.74418532205476</v>
      </c>
      <c r="BF20" s="5">
        <v>305.44078137728491</v>
      </c>
      <c r="BG20" s="5">
        <v>324.90014755572491</v>
      </c>
      <c r="BH20" s="5">
        <v>320.83759913433897</v>
      </c>
      <c r="BI20" s="5">
        <v>348.47021679095883</v>
      </c>
      <c r="BJ20" s="5">
        <v>365.47221879028211</v>
      </c>
      <c r="BK20" s="5">
        <v>378.68379759926643</v>
      </c>
      <c r="BL20" s="5">
        <v>383.79413738550249</v>
      </c>
      <c r="BM20" s="5">
        <v>409.9867122585481</v>
      </c>
      <c r="BN20" s="5">
        <v>372.40421484058061</v>
      </c>
      <c r="BO20" s="5">
        <v>400.02676151584677</v>
      </c>
      <c r="BP20" s="5">
        <v>420.38317527075799</v>
      </c>
      <c r="BQ20" s="5">
        <v>422.2620594051869</v>
      </c>
      <c r="BR20" s="5">
        <v>433.46773664162339</v>
      </c>
      <c r="BS20" s="5">
        <v>471.75301827699604</v>
      </c>
      <c r="BT20" s="5">
        <v>486.88271141757099</v>
      </c>
      <c r="BU20" s="5">
        <v>482.33327274343725</v>
      </c>
      <c r="BV20" s="5">
        <v>487.60847495409962</v>
      </c>
      <c r="BW20" s="5">
        <v>435.38712409140362</v>
      </c>
      <c r="BX20" s="5">
        <v>462.54603639917605</v>
      </c>
      <c r="BY20" s="5">
        <v>460.0094197334916</v>
      </c>
      <c r="BZ20" s="5">
        <v>456.56909188802678</v>
      </c>
      <c r="CA20" s="5">
        <v>512.17391383666734</v>
      </c>
    </row>
    <row r="21" spans="1:79" x14ac:dyDescent="0.2">
      <c r="A21" t="s">
        <v>45</v>
      </c>
      <c r="C21" t="s">
        <v>5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t="s">
        <v>6</v>
      </c>
      <c r="AJ21" t="s">
        <v>6</v>
      </c>
      <c r="AK21" t="s">
        <v>6</v>
      </c>
      <c r="AL21" t="s">
        <v>6</v>
      </c>
      <c r="AM21" s="5">
        <v>11.851702654504072</v>
      </c>
      <c r="AN21" s="5">
        <v>11.173373874886037</v>
      </c>
      <c r="AO21" s="5">
        <v>11.568095493894104</v>
      </c>
      <c r="AP21" s="5">
        <v>11.233255208515834</v>
      </c>
      <c r="AQ21" s="5">
        <v>10.973413557315899</v>
      </c>
      <c r="AR21" t="s">
        <v>6</v>
      </c>
      <c r="AS21" t="s">
        <v>6</v>
      </c>
      <c r="AT21" t="s">
        <v>6</v>
      </c>
      <c r="AU21" s="5">
        <v>5.5516274414593658</v>
      </c>
      <c r="AV21" s="5">
        <v>4.7707832313394105</v>
      </c>
      <c r="AW21" s="5">
        <v>5.890254156525228</v>
      </c>
      <c r="AX21" s="5">
        <v>9.2280745016063026</v>
      </c>
      <c r="AY21" s="5">
        <v>6.4265603694718507</v>
      </c>
      <c r="AZ21" s="5">
        <v>6.4245869064603811</v>
      </c>
      <c r="BA21" s="5">
        <v>7.1368908537231146</v>
      </c>
      <c r="BB21" s="5">
        <v>7.9967930934456941</v>
      </c>
      <c r="BC21" s="5">
        <v>12.885624922925841</v>
      </c>
      <c r="BD21" s="5">
        <v>8.7551374411885199</v>
      </c>
      <c r="BE21" s="5">
        <v>7.9632886318789087</v>
      </c>
      <c r="BF21" s="5">
        <v>8.3942362634739318</v>
      </c>
      <c r="BG21" s="5">
        <v>8.6771623773182682</v>
      </c>
      <c r="BH21" s="5">
        <v>9.4703781984431714</v>
      </c>
      <c r="BI21" s="5">
        <v>8.787450163345591</v>
      </c>
      <c r="BJ21" s="5">
        <v>8.7725981295256243</v>
      </c>
      <c r="BK21" s="5">
        <v>10.397103708402275</v>
      </c>
      <c r="BL21" s="5">
        <v>8.4785911482492065</v>
      </c>
      <c r="BM21" s="5">
        <v>8.5425394829404517</v>
      </c>
      <c r="BN21" s="5">
        <v>9.2256314553730743</v>
      </c>
      <c r="BO21" s="5">
        <v>9.7131161014315932</v>
      </c>
      <c r="BP21" s="5">
        <v>9.3353430742708348</v>
      </c>
      <c r="BQ21" s="5">
        <v>9.5872673428247595</v>
      </c>
      <c r="BR21" s="5">
        <v>10.169686441251768</v>
      </c>
      <c r="BS21" s="5">
        <v>11.793940253958265</v>
      </c>
      <c r="BT21" s="5">
        <v>10.601501253718867</v>
      </c>
      <c r="BU21" s="5">
        <v>11.40397065335778</v>
      </c>
      <c r="BV21" s="5">
        <v>10.795923441063852</v>
      </c>
      <c r="BW21" s="5">
        <v>12.221818840793292</v>
      </c>
      <c r="BX21" s="5">
        <v>11.497935181797624</v>
      </c>
      <c r="BY21" s="5">
        <v>10.949159295176514</v>
      </c>
      <c r="BZ21" s="5">
        <v>14.353938320532245</v>
      </c>
      <c r="CA21" s="5">
        <v>16.518501717944265</v>
      </c>
    </row>
    <row r="22" spans="1:79" x14ac:dyDescent="0.2">
      <c r="A22" t="s">
        <v>46</v>
      </c>
      <c r="C22" t="s">
        <v>47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s="5">
        <v>36.374696866093331</v>
      </c>
      <c r="AU22" s="5">
        <v>37.019993330075771</v>
      </c>
      <c r="AV22" s="5">
        <v>33.682873954641579</v>
      </c>
      <c r="AW22" s="5">
        <v>29.602835759110924</v>
      </c>
      <c r="AX22" s="5">
        <v>27.184483571276314</v>
      </c>
      <c r="AY22" s="5">
        <v>25.171370349961645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s="5">
        <v>27.869515863383238</v>
      </c>
      <c r="BF22" s="5">
        <v>31.377767541767632</v>
      </c>
      <c r="BG22" s="5">
        <v>29.286961764096297</v>
      </c>
      <c r="BH22" s="5">
        <v>28.97273859187289</v>
      </c>
      <c r="BI22" t="s">
        <v>6</v>
      </c>
      <c r="BJ22" s="5">
        <v>30.337611018418617</v>
      </c>
      <c r="BK22" s="5">
        <v>42.774670256254495</v>
      </c>
      <c r="BL22" s="5">
        <v>49.764889481557972</v>
      </c>
      <c r="BM22" s="5">
        <v>73.713255642060588</v>
      </c>
      <c r="BN22" s="5">
        <v>67.098163090944198</v>
      </c>
      <c r="BO22" s="5">
        <v>58.988347432457132</v>
      </c>
      <c r="BP22" s="5">
        <v>59.816613015187116</v>
      </c>
      <c r="BQ22" s="5">
        <v>41.754234544962976</v>
      </c>
      <c r="BR22" s="5">
        <v>34.248368650841435</v>
      </c>
      <c r="BS22" s="5">
        <v>32.886536968431599</v>
      </c>
      <c r="BT22" s="5">
        <v>32.044800322902496</v>
      </c>
      <c r="BU22" s="5">
        <v>33.103736977389453</v>
      </c>
      <c r="BV22" s="5">
        <v>45.418359837811572</v>
      </c>
      <c r="BW22" s="5">
        <v>47.695340324573856</v>
      </c>
      <c r="BX22" s="5">
        <v>55.197681454556339</v>
      </c>
      <c r="BY22" s="5">
        <v>44.472364947037995</v>
      </c>
      <c r="BZ22" s="5">
        <v>62.527021813444712</v>
      </c>
      <c r="CA22" s="5">
        <v>67.993433755941126</v>
      </c>
    </row>
    <row r="23" spans="1:79" x14ac:dyDescent="0.2">
      <c r="A23" t="s">
        <v>48</v>
      </c>
      <c r="C23" t="s">
        <v>2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t="s">
        <v>6</v>
      </c>
      <c r="AJ23" t="s">
        <v>6</v>
      </c>
      <c r="AK23" t="s">
        <v>6</v>
      </c>
      <c r="AL23" s="5">
        <v>92.769996867378381</v>
      </c>
      <c r="AM23" s="5">
        <v>90.004920834103643</v>
      </c>
      <c r="AN23" s="5">
        <v>83.147882199659762</v>
      </c>
      <c r="AO23" s="5">
        <v>95.071821592315075</v>
      </c>
      <c r="AP23" s="5">
        <v>61.625266395336645</v>
      </c>
      <c r="AQ23" s="5">
        <v>120.2021043198653</v>
      </c>
      <c r="AR23" s="5">
        <v>96.832435723501419</v>
      </c>
      <c r="AS23" s="5">
        <v>50.673203227485551</v>
      </c>
      <c r="AT23" t="s">
        <v>6</v>
      </c>
      <c r="AU23" s="5">
        <v>50.682613493175211</v>
      </c>
      <c r="AV23" s="5">
        <v>65.706420084247739</v>
      </c>
      <c r="AW23" s="5">
        <v>51.373995721686185</v>
      </c>
      <c r="AX23" s="5">
        <v>38.237999155460599</v>
      </c>
      <c r="AY23" s="5">
        <v>43.619757074365772</v>
      </c>
      <c r="AZ23" s="5">
        <v>31.55741703560544</v>
      </c>
      <c r="BA23" s="5">
        <v>29.644244413174164</v>
      </c>
      <c r="BB23" s="5">
        <v>43.766012028040606</v>
      </c>
      <c r="BC23" s="5">
        <v>49.670547689157246</v>
      </c>
      <c r="BD23" s="5">
        <v>55.804524156040685</v>
      </c>
      <c r="BE23" s="5">
        <v>66.03651056121177</v>
      </c>
      <c r="BF23" s="5">
        <v>66.933258993645296</v>
      </c>
      <c r="BG23" s="5">
        <v>79.337851775518828</v>
      </c>
      <c r="BH23" s="5">
        <v>80.613770188800672</v>
      </c>
      <c r="BI23" s="5">
        <v>297.24557838247335</v>
      </c>
      <c r="BJ23" s="5">
        <v>522.3165161728673</v>
      </c>
      <c r="BK23" s="5">
        <v>695.22400888300433</v>
      </c>
      <c r="BL23" s="5">
        <v>805.72619527101517</v>
      </c>
      <c r="BM23" s="5">
        <v>719.29241847763865</v>
      </c>
      <c r="BN23" s="5">
        <v>664.99878426779151</v>
      </c>
      <c r="BO23" t="s">
        <v>6</v>
      </c>
      <c r="BP23" s="5">
        <v>769.8619489490917</v>
      </c>
      <c r="BQ23" s="5">
        <v>409.25798465438442</v>
      </c>
      <c r="BR23" s="5">
        <v>264.15916415711524</v>
      </c>
      <c r="BS23" s="5">
        <v>374.08070777222321</v>
      </c>
      <c r="BT23" s="5">
        <v>266.16364483810668</v>
      </c>
      <c r="BU23" s="5">
        <v>279.18249042463231</v>
      </c>
      <c r="BV23" s="5">
        <v>275.57083224706003</v>
      </c>
      <c r="BW23" s="5">
        <v>356.38077097959911</v>
      </c>
      <c r="BX23" s="5">
        <v>354.90383141721946</v>
      </c>
      <c r="BY23" s="5">
        <v>378.06109229680709</v>
      </c>
      <c r="BZ23" s="5">
        <v>372.75185572335943</v>
      </c>
      <c r="CA23" s="5">
        <v>531.29431626216831</v>
      </c>
    </row>
    <row r="24" spans="1:79" x14ac:dyDescent="0.2">
      <c r="A24" t="s">
        <v>49</v>
      </c>
      <c r="C24" t="s">
        <v>50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s="7">
        <v>70.327986309532363</v>
      </c>
      <c r="S24" s="7">
        <v>96.799868486706032</v>
      </c>
      <c r="T24" s="7">
        <v>157.62382494306382</v>
      </c>
      <c r="U24" s="7">
        <v>135.19949930808406</v>
      </c>
      <c r="V24" s="7">
        <v>121.64788382744553</v>
      </c>
      <c r="W24" s="7">
        <v>125.96044331187089</v>
      </c>
      <c r="X24" s="7">
        <v>170.28047475851517</v>
      </c>
      <c r="Y24" s="7">
        <v>222.76758044440174</v>
      </c>
      <c r="Z24" s="7">
        <v>209.36745666857908</v>
      </c>
      <c r="AA24" s="5">
        <v>166.96925165911466</v>
      </c>
      <c r="AB24" s="5">
        <v>157.25906670577046</v>
      </c>
      <c r="AC24" s="5">
        <v>224.46015751992874</v>
      </c>
      <c r="AD24" s="5">
        <v>160.10785749772936</v>
      </c>
      <c r="AE24" s="5">
        <v>97.63456273851763</v>
      </c>
      <c r="AF24" s="5">
        <v>83.514310969320192</v>
      </c>
      <c r="AG24" s="5">
        <v>72.941546971429986</v>
      </c>
      <c r="AH24" s="5">
        <v>66.624447360518445</v>
      </c>
      <c r="AI24" s="5">
        <v>58.656855581827379</v>
      </c>
      <c r="AJ24" s="5">
        <v>31.93978313539515</v>
      </c>
      <c r="AK24" s="5">
        <v>62.931278113354885</v>
      </c>
      <c r="AL24" s="5">
        <v>42.855368891970805</v>
      </c>
      <c r="AM24" s="5">
        <v>53.398064110623828</v>
      </c>
      <c r="AN24" s="5">
        <v>45.003196063102024</v>
      </c>
      <c r="AO24" s="5">
        <v>62.238467733520459</v>
      </c>
      <c r="AP24" s="5">
        <v>27.555497366104198</v>
      </c>
      <c r="AQ24" s="5">
        <v>203.60005884568767</v>
      </c>
      <c r="AR24" s="5">
        <v>63.884005120089604</v>
      </c>
      <c r="AS24" s="5">
        <v>45.176275242344943</v>
      </c>
      <c r="AT24" s="5">
        <v>41.53497800318496</v>
      </c>
      <c r="AU24" s="5">
        <v>79.257878585535437</v>
      </c>
      <c r="AV24" s="5">
        <v>243.49669510598144</v>
      </c>
      <c r="AW24" t="s">
        <v>6</v>
      </c>
      <c r="AX24" t="s">
        <v>6</v>
      </c>
      <c r="AY24" s="5">
        <v>101.85231340305261</v>
      </c>
      <c r="AZ24" s="5">
        <v>83.851639766127008</v>
      </c>
      <c r="BA24" s="5">
        <v>25.239317762219251</v>
      </c>
      <c r="BB24" s="5">
        <v>91.957592202010574</v>
      </c>
      <c r="BC24" s="5">
        <v>72.399714585785944</v>
      </c>
      <c r="BD24" t="s">
        <v>6</v>
      </c>
      <c r="BE24" t="s">
        <v>6</v>
      </c>
      <c r="BF24" s="5">
        <v>116.62633089410878</v>
      </c>
      <c r="BG24" s="5">
        <v>193.24825227357854</v>
      </c>
      <c r="BH24" s="5">
        <v>226.82113738440185</v>
      </c>
      <c r="BI24" s="5">
        <v>246.12740776861799</v>
      </c>
      <c r="BJ24" s="5">
        <v>232.37932004661957</v>
      </c>
      <c r="BK24" s="5">
        <v>167.16876812041107</v>
      </c>
      <c r="BL24" s="5">
        <v>180.08626309405059</v>
      </c>
      <c r="BM24" s="5">
        <v>282.33894197026189</v>
      </c>
      <c r="BN24" s="5">
        <v>323.06142518262459</v>
      </c>
      <c r="BO24" s="5">
        <v>410.09913847965294</v>
      </c>
      <c r="BP24" s="5">
        <v>458.1951993268579</v>
      </c>
      <c r="BQ24" s="5">
        <v>414.82041332236031</v>
      </c>
      <c r="BR24" s="5">
        <v>593.31044037328536</v>
      </c>
      <c r="BS24" s="5">
        <v>507.0257450797958</v>
      </c>
      <c r="BT24" s="5">
        <v>400.61845715666669</v>
      </c>
      <c r="BU24" s="5">
        <v>344.81311377013543</v>
      </c>
      <c r="BV24" s="5">
        <v>401.5866520526148</v>
      </c>
      <c r="BW24" s="5">
        <v>415.35627534674467</v>
      </c>
      <c r="BX24" s="5">
        <v>347.43447154441503</v>
      </c>
      <c r="BY24" s="5">
        <v>389.89647475687389</v>
      </c>
      <c r="BZ24" s="5">
        <v>794.24459807227458</v>
      </c>
      <c r="CA24" s="5">
        <v>934.63597835128803</v>
      </c>
    </row>
    <row r="25" spans="1:79" x14ac:dyDescent="0.2">
      <c r="A25" t="s">
        <v>51</v>
      </c>
      <c r="C25" t="s">
        <v>2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s="6">
        <v>61.857766476229578</v>
      </c>
      <c r="Z25" s="6">
        <v>62.205624085594664</v>
      </c>
      <c r="AA25" s="6">
        <v>48.127484529213703</v>
      </c>
      <c r="AB25" s="6">
        <v>62.694962901101292</v>
      </c>
      <c r="AC25" s="6">
        <v>79.395139812609031</v>
      </c>
      <c r="AD25" s="6">
        <v>83.984304679501378</v>
      </c>
      <c r="AE25" s="6">
        <v>89.274812481106494</v>
      </c>
      <c r="AF25" t="s">
        <v>6</v>
      </c>
      <c r="AG25" s="6">
        <v>73.908744217462939</v>
      </c>
      <c r="AH25" s="6">
        <v>89.276463872397358</v>
      </c>
      <c r="AI25" s="6">
        <v>90.502713183919496</v>
      </c>
      <c r="AJ25" s="6">
        <v>127.8011237065744</v>
      </c>
      <c r="AK25" s="6">
        <v>170.30028129380199</v>
      </c>
      <c r="AL25" t="s">
        <v>6</v>
      </c>
      <c r="AM25" s="6">
        <v>144.31070003451711</v>
      </c>
      <c r="AN25" s="6">
        <v>161.39782651708344</v>
      </c>
      <c r="AO25" t="s">
        <v>6</v>
      </c>
      <c r="AP25" s="6">
        <v>186.40803192264849</v>
      </c>
      <c r="AQ25" t="s">
        <v>6</v>
      </c>
      <c r="AR25" t="s">
        <v>6</v>
      </c>
      <c r="AS25" t="s">
        <v>6</v>
      </c>
      <c r="AT25" t="s">
        <v>6</v>
      </c>
      <c r="AU25" s="6">
        <v>212.80181820023199</v>
      </c>
      <c r="AV25" s="6">
        <v>189.09174486932443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t="s">
        <v>6</v>
      </c>
      <c r="BD25" s="7">
        <v>120.37302384109502</v>
      </c>
      <c r="BE25" s="7">
        <v>142.39512724593396</v>
      </c>
      <c r="BF25" s="7">
        <v>158.48844717520203</v>
      </c>
      <c r="BG25" s="7">
        <v>186.41676635066551</v>
      </c>
      <c r="BH25" s="7">
        <v>146.57909393765513</v>
      </c>
      <c r="BI25" s="7">
        <v>171.06121420773121</v>
      </c>
      <c r="BJ25" s="7">
        <v>202.82690024488667</v>
      </c>
      <c r="BK25" s="5">
        <v>223.14683582199837</v>
      </c>
      <c r="BL25" t="s">
        <v>6</v>
      </c>
      <c r="BM25" s="5">
        <v>247.53532095943078</v>
      </c>
      <c r="BN25" t="s">
        <v>6</v>
      </c>
      <c r="BO25" t="s">
        <v>6</v>
      </c>
      <c r="BP25" s="5">
        <v>371.17672861055939</v>
      </c>
      <c r="BQ25" s="5">
        <v>706.89769138261647</v>
      </c>
      <c r="BR25" t="s">
        <v>6</v>
      </c>
      <c r="BS25" s="5">
        <v>567.09732124203492</v>
      </c>
      <c r="BT25" s="5">
        <v>414.23061596221623</v>
      </c>
      <c r="BU25" s="5">
        <v>304.55695888479113</v>
      </c>
      <c r="BV25" s="5">
        <v>322.45344041623662</v>
      </c>
      <c r="BW25" s="5">
        <v>309.46713034748302</v>
      </c>
      <c r="BX25" s="5">
        <v>307.68121183811377</v>
      </c>
      <c r="BY25" s="5">
        <v>285.10049707307792</v>
      </c>
      <c r="BZ25" s="5">
        <v>284.99442966404871</v>
      </c>
      <c r="CA25" s="5">
        <v>174.99615104152153</v>
      </c>
    </row>
    <row r="26" spans="1:79" x14ac:dyDescent="0.2">
      <c r="A26" t="s">
        <v>52</v>
      </c>
      <c r="C26" t="s">
        <v>53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s="5">
        <v>75.647944561234112</v>
      </c>
      <c r="R26" s="5">
        <v>68.94002298435808</v>
      </c>
      <c r="S26" s="5">
        <v>95.077060004696619</v>
      </c>
      <c r="T26" s="5">
        <v>106.85018039254068</v>
      </c>
      <c r="U26" s="5">
        <v>105.72987558561347</v>
      </c>
      <c r="V26" s="5">
        <v>114.7441914058691</v>
      </c>
      <c r="W26" s="5">
        <v>114.03218152588146</v>
      </c>
      <c r="X26" s="5">
        <v>121.01622399823954</v>
      </c>
      <c r="Y26" s="5">
        <v>130.48003159744013</v>
      </c>
      <c r="Z26" s="5">
        <v>176.53215662765933</v>
      </c>
      <c r="AA26" s="5">
        <v>213.31610871332049</v>
      </c>
      <c r="AB26" s="5">
        <v>153.59852101161403</v>
      </c>
      <c r="AC26" s="5">
        <v>202.45318864340607</v>
      </c>
      <c r="AD26" s="5">
        <v>180.45197923787032</v>
      </c>
      <c r="AE26" s="5">
        <v>205.24663626825213</v>
      </c>
      <c r="AF26" s="5">
        <v>162.41290206956512</v>
      </c>
      <c r="AG26" s="5">
        <v>222.15266677260107</v>
      </c>
      <c r="AH26" s="5">
        <v>213.13490640862841</v>
      </c>
      <c r="AI26" s="5">
        <v>212.83075636888887</v>
      </c>
      <c r="AJ26" s="5">
        <v>195.37590578131875</v>
      </c>
      <c r="AK26" s="5">
        <v>206.30265600728416</v>
      </c>
      <c r="AL26" s="5">
        <v>199.8053777537724</v>
      </c>
      <c r="AM26" s="5">
        <v>202.15916985857822</v>
      </c>
      <c r="AN26" s="5">
        <v>202.30526426571279</v>
      </c>
      <c r="AO26" s="5">
        <v>197.34650037521621</v>
      </c>
      <c r="AP26" s="5">
        <v>203.63354852025785</v>
      </c>
      <c r="AQ26" s="5">
        <v>196.91179754617266</v>
      </c>
      <c r="AR26" s="5">
        <v>211.276286114671</v>
      </c>
      <c r="AS26" s="5">
        <v>201.82527126001247</v>
      </c>
      <c r="AT26" s="5">
        <v>205.93728109864026</v>
      </c>
      <c r="AU26" s="5">
        <v>201.61892200403517</v>
      </c>
      <c r="AV26" s="5">
        <v>200.12874553717415</v>
      </c>
      <c r="AW26" s="5">
        <v>176.03639840670181</v>
      </c>
      <c r="AX26" t="s">
        <v>6</v>
      </c>
      <c r="AY26" s="5">
        <v>169.09118148858195</v>
      </c>
      <c r="AZ26" s="5">
        <v>168.96866517410282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s="5">
        <v>319.27597990790719</v>
      </c>
      <c r="BG26" s="5">
        <v>336.80244294163214</v>
      </c>
      <c r="BH26" s="5">
        <v>322.49163143279793</v>
      </c>
      <c r="BI26" s="5">
        <v>333.83001166077406</v>
      </c>
      <c r="BJ26" s="5">
        <v>363.48784298994531</v>
      </c>
      <c r="BK26" s="5">
        <v>364.18330424904758</v>
      </c>
      <c r="BL26" s="5">
        <v>432.84081016531189</v>
      </c>
      <c r="BM26" s="5">
        <v>413.94808574555708</v>
      </c>
      <c r="BN26" s="5">
        <v>346.47526776997393</v>
      </c>
      <c r="BO26" s="7">
        <v>422.08913359159334</v>
      </c>
      <c r="BP26" s="5">
        <v>420.06990886565245</v>
      </c>
      <c r="BQ26" s="5">
        <v>507.32880190738263</v>
      </c>
      <c r="BR26" s="5">
        <v>655.06421769915096</v>
      </c>
      <c r="BS26" s="5">
        <v>689.86145919099135</v>
      </c>
      <c r="BT26" s="5">
        <v>564.61704975384146</v>
      </c>
      <c r="BU26" s="5">
        <v>645.29077338173727</v>
      </c>
      <c r="BV26" s="5">
        <v>606.61236259735881</v>
      </c>
      <c r="BW26" s="5">
        <v>658.92543776065577</v>
      </c>
      <c r="BX26" s="5">
        <v>640.81295131535001</v>
      </c>
      <c r="BY26" s="5">
        <v>651.75503667877899</v>
      </c>
      <c r="BZ26" s="5">
        <v>682.17711134921444</v>
      </c>
      <c r="CA26" s="5">
        <v>634.08168864118545</v>
      </c>
    </row>
    <row r="27" spans="1:79" x14ac:dyDescent="0.2">
      <c r="A27" t="s">
        <v>54</v>
      </c>
      <c r="C27" t="s">
        <v>2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s="7">
        <v>6.4928971836554252</v>
      </c>
      <c r="AJ27" s="7">
        <v>18.7886852772683</v>
      </c>
      <c r="AK27" s="7">
        <v>103.30143701919464</v>
      </c>
      <c r="AL27" s="7">
        <v>105.72134072428784</v>
      </c>
      <c r="AM27" s="7">
        <v>103.28574175321597</v>
      </c>
      <c r="AN27" s="7">
        <v>101.00816441747799</v>
      </c>
      <c r="AO27" s="7">
        <v>95.158690658825165</v>
      </c>
      <c r="AP27" s="7">
        <v>91.290080335154059</v>
      </c>
      <c r="AQ27" s="7">
        <v>82.179290353764813</v>
      </c>
      <c r="AR27" s="7">
        <v>80.898280761394858</v>
      </c>
      <c r="AS27" s="7">
        <v>77.894594060622097</v>
      </c>
      <c r="AT27" s="7">
        <v>75.705347683532949</v>
      </c>
      <c r="AU27" s="7">
        <v>77.234247155013335</v>
      </c>
      <c r="AV27" s="7">
        <v>69.667429861219176</v>
      </c>
      <c r="AW27" s="7">
        <v>66.939721851739236</v>
      </c>
      <c r="AX27" s="7">
        <v>61.529313185414289</v>
      </c>
      <c r="AY27" s="7">
        <v>49.240682790766023</v>
      </c>
      <c r="AZ27" s="7">
        <v>51.997217392758962</v>
      </c>
      <c r="BA27" s="7">
        <v>51.166819671604799</v>
      </c>
      <c r="BB27" s="5">
        <v>51.515858564734437</v>
      </c>
      <c r="BC27" s="5">
        <v>49.082595053387109</v>
      </c>
      <c r="BD27" s="5">
        <v>48.276438904427835</v>
      </c>
      <c r="BE27" s="5">
        <v>61.238945988420149</v>
      </c>
      <c r="BF27" s="5">
        <v>75.432060942416683</v>
      </c>
      <c r="BG27" s="5">
        <v>65.425645766633949</v>
      </c>
      <c r="BH27" s="5">
        <v>76.181053514850689</v>
      </c>
      <c r="BI27" s="7">
        <v>81.28010563574567</v>
      </c>
      <c r="BJ27" s="5">
        <v>53.981676259392238</v>
      </c>
      <c r="BK27" s="5">
        <v>50.668692148374475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6</v>
      </c>
    </row>
    <row r="28" spans="1:79" x14ac:dyDescent="0.2">
      <c r="A28" t="s">
        <v>55</v>
      </c>
      <c r="C28" t="s">
        <v>2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t="s">
        <v>6</v>
      </c>
      <c r="AW28" s="5">
        <v>7.9682998655211694</v>
      </c>
      <c r="AX28" s="5">
        <v>8.6601296684258493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6</v>
      </c>
      <c r="BI28" t="s">
        <v>6</v>
      </c>
      <c r="BJ28" s="5">
        <v>260.73822628157706</v>
      </c>
      <c r="BK28" s="5">
        <v>340.96294486436761</v>
      </c>
      <c r="BL28" s="5">
        <v>436.29105511237117</v>
      </c>
      <c r="BM28" t="s">
        <v>6</v>
      </c>
      <c r="BN28" t="s">
        <v>6</v>
      </c>
      <c r="BO28" t="s">
        <v>6</v>
      </c>
      <c r="BP28" t="s">
        <v>6</v>
      </c>
      <c r="BQ28" s="5">
        <v>162.67182858250706</v>
      </c>
      <c r="BR28" s="5">
        <v>157.74325000363291</v>
      </c>
      <c r="BS28" s="5">
        <v>158.19682276431254</v>
      </c>
      <c r="BT28" s="5">
        <v>152.10795651090262</v>
      </c>
      <c r="BU28" s="5">
        <v>156.35187348867433</v>
      </c>
      <c r="BV28" s="5">
        <v>161.43161049631493</v>
      </c>
      <c r="BW28" s="5">
        <v>165.31398265769877</v>
      </c>
      <c r="BX28" s="5">
        <v>159.92465945812771</v>
      </c>
      <c r="BY28" s="5">
        <v>165.25875117706983</v>
      </c>
      <c r="BZ28" s="5">
        <v>162.19239415267498</v>
      </c>
      <c r="CA28" s="5">
        <v>108.75509688170538</v>
      </c>
    </row>
    <row r="29" spans="1:79" x14ac:dyDescent="0.2">
      <c r="A29" t="s">
        <v>56</v>
      </c>
      <c r="C29" t="s">
        <v>57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  <c r="AI29" t="s">
        <v>6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t="s">
        <v>6</v>
      </c>
      <c r="AV29" t="s">
        <v>6</v>
      </c>
      <c r="AW29" t="s">
        <v>6</v>
      </c>
      <c r="AX29" t="s">
        <v>6</v>
      </c>
      <c r="AY29" t="s">
        <v>6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6</v>
      </c>
      <c r="BQ29" t="s">
        <v>6</v>
      </c>
      <c r="BR29" t="s">
        <v>6</v>
      </c>
      <c r="BS29" t="s">
        <v>6</v>
      </c>
      <c r="BT29" t="s">
        <v>6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  <c r="CA29" t="s">
        <v>6</v>
      </c>
    </row>
    <row r="30" spans="1:79" x14ac:dyDescent="0.2">
      <c r="A30" t="s">
        <v>58</v>
      </c>
      <c r="C30" t="s">
        <v>2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s="5">
        <v>358.73350387081706</v>
      </c>
      <c r="U30" s="5">
        <v>368.09517069325881</v>
      </c>
      <c r="V30" s="5">
        <v>311.15144352369913</v>
      </c>
      <c r="W30" s="5">
        <v>290.94233369045435</v>
      </c>
      <c r="X30" s="5">
        <v>284.86600955975871</v>
      </c>
      <c r="Y30" s="5">
        <v>259.584405004551</v>
      </c>
      <c r="Z30" s="5">
        <v>269.41327045624882</v>
      </c>
      <c r="AA30" s="5">
        <v>300.54893295287746</v>
      </c>
      <c r="AB30" s="5">
        <v>297.14404791073304</v>
      </c>
      <c r="AC30" s="5">
        <v>416.57407754827403</v>
      </c>
      <c r="AD30" s="5">
        <v>654.09547053086919</v>
      </c>
      <c r="AE30" s="5">
        <v>520.96021423493539</v>
      </c>
      <c r="AF30" s="5">
        <v>471.00499516008267</v>
      </c>
      <c r="AG30" s="5">
        <v>543.74838614636406</v>
      </c>
      <c r="AH30" s="5">
        <v>726.61791434181873</v>
      </c>
      <c r="AI30" s="5">
        <v>904.32288866144233</v>
      </c>
      <c r="AJ30" s="5">
        <v>870.1973278743925</v>
      </c>
      <c r="AK30" s="5">
        <v>867.44452414602119</v>
      </c>
      <c r="AL30" s="5">
        <v>920.77676596978404</v>
      </c>
      <c r="AM30" s="5">
        <v>879.67897680340161</v>
      </c>
      <c r="AN30" s="5">
        <v>750.04554315312964</v>
      </c>
      <c r="AO30" s="5">
        <v>850.51562797312033</v>
      </c>
      <c r="AP30" s="5">
        <v>945.94437387609287</v>
      </c>
      <c r="AQ30" s="5">
        <v>1139.6101269638241</v>
      </c>
      <c r="AR30" s="5">
        <v>1343.4940671268048</v>
      </c>
      <c r="AS30" s="7">
        <v>1283.4288255546564</v>
      </c>
      <c r="AT30" s="5">
        <v>637.2450368352869</v>
      </c>
      <c r="AU30" s="7">
        <v>376.74953592499764</v>
      </c>
      <c r="AV30" s="5">
        <v>416.56033448474301</v>
      </c>
      <c r="AW30" s="5">
        <v>384.01719286470814</v>
      </c>
      <c r="AX30" s="5">
        <v>323.93025435508991</v>
      </c>
      <c r="AY30" s="5">
        <v>376.98287916394969</v>
      </c>
      <c r="AZ30" s="5">
        <v>693.24214382777484</v>
      </c>
      <c r="BA30" s="5">
        <v>1482.4039743181804</v>
      </c>
      <c r="BB30" s="5">
        <v>2352.3143839517656</v>
      </c>
      <c r="BC30" s="5">
        <v>2121.7146742563423</v>
      </c>
      <c r="BD30" s="5">
        <v>1348.0366206812089</v>
      </c>
      <c r="BE30" s="5">
        <v>1120.3946459380472</v>
      </c>
      <c r="BF30" s="5">
        <v>954.16660459260413</v>
      </c>
      <c r="BG30" s="5">
        <v>1034.9929939090257</v>
      </c>
      <c r="BH30" s="5">
        <v>1038.7445181531989</v>
      </c>
      <c r="BI30" s="5">
        <v>938.23793248073389</v>
      </c>
      <c r="BJ30" s="5">
        <v>859.35045174350444</v>
      </c>
      <c r="BK30" s="5">
        <v>687.0154235793583</v>
      </c>
      <c r="BL30" s="5">
        <v>679.7685814650398</v>
      </c>
      <c r="BM30" s="5">
        <v>687.47290390579622</v>
      </c>
      <c r="BN30" s="5">
        <v>662.50960054807206</v>
      </c>
      <c r="BO30" s="5">
        <v>619.15835774871323</v>
      </c>
      <c r="BP30" s="5">
        <v>620.67851822094826</v>
      </c>
      <c r="BQ30" s="5">
        <v>677.06098551365221</v>
      </c>
      <c r="BR30" s="5">
        <v>694.07873732592884</v>
      </c>
      <c r="BS30" s="6">
        <v>762.05342731392261</v>
      </c>
      <c r="BT30" s="6">
        <v>794.9676803002717</v>
      </c>
      <c r="BU30" s="6">
        <v>801.76032311177732</v>
      </c>
      <c r="BV30" s="6">
        <v>760.29976250662708</v>
      </c>
      <c r="BW30" s="6">
        <v>1066.6157216364925</v>
      </c>
      <c r="BX30" s="6">
        <v>2229.4199124304123</v>
      </c>
      <c r="BY30" s="6">
        <v>2210.1810086012979</v>
      </c>
      <c r="BZ30" s="6">
        <v>1409.020101008437</v>
      </c>
      <c r="CA30" s="6">
        <v>1119.0993818596251</v>
      </c>
    </row>
    <row r="31" spans="1:79" x14ac:dyDescent="0.2">
      <c r="A31" t="s">
        <v>59</v>
      </c>
      <c r="C31" t="s">
        <v>60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s="5">
        <v>14.82125335004214</v>
      </c>
      <c r="W31" s="5">
        <v>14.483012543266032</v>
      </c>
      <c r="X31" s="5">
        <v>21.496040176982603</v>
      </c>
      <c r="Y31" s="5">
        <v>23.47096165058727</v>
      </c>
      <c r="Z31" s="5">
        <v>26.68758511224252</v>
      </c>
      <c r="AA31" s="5">
        <v>28.649795358989273</v>
      </c>
      <c r="AB31" s="5">
        <v>33.679177204299855</v>
      </c>
      <c r="AC31" s="5">
        <v>36.147191278120346</v>
      </c>
      <c r="AD31" s="5">
        <v>40.216604434658414</v>
      </c>
      <c r="AE31" s="5">
        <v>44.562558064727774</v>
      </c>
      <c r="AF31" s="5">
        <v>57.868130888365137</v>
      </c>
      <c r="AG31" t="s">
        <v>6</v>
      </c>
      <c r="AH31" s="5">
        <v>82.395960893532305</v>
      </c>
      <c r="AI31" s="5">
        <v>87.892771944877282</v>
      </c>
      <c r="AJ31" s="5">
        <v>133.82605796100341</v>
      </c>
      <c r="AK31" s="5">
        <v>139.06077970974511</v>
      </c>
      <c r="AL31" s="5">
        <v>142.49106194215349</v>
      </c>
      <c r="AM31" s="5">
        <v>143.172885315847</v>
      </c>
      <c r="AN31" s="5">
        <v>163.00044744984945</v>
      </c>
      <c r="AO31" s="5">
        <v>168.375578759723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t="s">
        <v>6</v>
      </c>
      <c r="BC31" s="5">
        <v>178.24067142591502</v>
      </c>
      <c r="BD31" s="5">
        <v>177.19507725738501</v>
      </c>
      <c r="BE31" s="5">
        <v>177.13010081841279</v>
      </c>
      <c r="BF31" s="5">
        <v>165.38186391871329</v>
      </c>
      <c r="BG31" s="5">
        <v>172.81426466671277</v>
      </c>
      <c r="BH31" s="5">
        <v>157.05527226280938</v>
      </c>
      <c r="BI31" s="5">
        <v>174.13099500909956</v>
      </c>
      <c r="BJ31" t="s">
        <v>6</v>
      </c>
      <c r="BK31" t="s">
        <v>6</v>
      </c>
      <c r="BL31" t="s">
        <v>6</v>
      </c>
      <c r="BM31" s="7">
        <v>297.78066520462926</v>
      </c>
      <c r="BN31" s="5">
        <v>277.27455478950566</v>
      </c>
      <c r="BO31" s="5">
        <v>305.62258889075838</v>
      </c>
      <c r="BP31" s="5">
        <v>298.51785054873858</v>
      </c>
      <c r="BQ31" s="5">
        <v>210.4824106636687</v>
      </c>
      <c r="BR31" s="5">
        <v>206.82209843789693</v>
      </c>
      <c r="BS31" s="5">
        <v>241.81634792861502</v>
      </c>
      <c r="BT31" s="5">
        <v>307.49323089850003</v>
      </c>
      <c r="BU31" s="5">
        <v>271.38112873850417</v>
      </c>
      <c r="BV31" s="5">
        <v>285.30557951417887</v>
      </c>
      <c r="BW31" s="5">
        <v>272.92917595596072</v>
      </c>
      <c r="BX31" s="5">
        <v>307.6392589751041</v>
      </c>
      <c r="BY31" s="5">
        <v>295.86312184126081</v>
      </c>
      <c r="BZ31" s="5">
        <v>265.38580263187868</v>
      </c>
      <c r="CA31" s="5">
        <v>312.47994399304338</v>
      </c>
    </row>
    <row r="32" spans="1:79" x14ac:dyDescent="0.2">
      <c r="A32" t="s">
        <v>61</v>
      </c>
      <c r="C32" t="s">
        <v>62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  <c r="AI32" t="s">
        <v>6</v>
      </c>
      <c r="AJ32" t="s">
        <v>6</v>
      </c>
      <c r="AK32" t="s">
        <v>6</v>
      </c>
      <c r="AL32" s="7">
        <v>0.90760844180459188</v>
      </c>
      <c r="AM32" s="7">
        <v>1.1750176443758531</v>
      </c>
      <c r="AN32" s="5">
        <v>1.585337935343871</v>
      </c>
      <c r="AO32" s="5">
        <v>1.5152555764825666</v>
      </c>
      <c r="AP32" s="5">
        <v>1.666535255468925</v>
      </c>
      <c r="AQ32" s="5">
        <v>2.196491073148612</v>
      </c>
      <c r="AR32" s="5">
        <v>2.8890376552105455</v>
      </c>
      <c r="AS32" s="5">
        <v>3.4050806877854627</v>
      </c>
      <c r="AT32" s="5">
        <v>4.0067388597723284</v>
      </c>
      <c r="AU32" s="5">
        <v>3.2663527148894698</v>
      </c>
      <c r="AV32" s="5">
        <v>2.294876057094871</v>
      </c>
      <c r="AW32" s="5">
        <v>2.1497671197981969</v>
      </c>
      <c r="AX32" s="5">
        <v>2.4937542907787158</v>
      </c>
      <c r="AY32" s="5">
        <v>3.447020191533094</v>
      </c>
      <c r="AZ32" s="5">
        <v>3.7108969571619137</v>
      </c>
      <c r="BA32" s="5">
        <v>3.7130813634962827</v>
      </c>
      <c r="BB32" s="5">
        <v>3.3277634988632534</v>
      </c>
      <c r="BC32" s="5">
        <v>3.4973795958500471</v>
      </c>
      <c r="BD32" s="5">
        <v>3.0319989893021786</v>
      </c>
      <c r="BE32" s="5">
        <v>3.2629808323367682</v>
      </c>
      <c r="BF32" s="5">
        <v>3.5315797829899669</v>
      </c>
      <c r="BG32" s="5">
        <v>3.1465193907935767</v>
      </c>
      <c r="BH32" s="5">
        <v>4.4139778256069793</v>
      </c>
      <c r="BI32" s="5">
        <v>3.9650364507484492</v>
      </c>
      <c r="BJ32" s="5">
        <v>5.4423895275153074</v>
      </c>
      <c r="BK32" s="5">
        <v>17.549143646245266</v>
      </c>
      <c r="BL32" s="5">
        <v>8.3300921260361473</v>
      </c>
      <c r="BM32" t="s">
        <v>6</v>
      </c>
      <c r="BN32" t="s">
        <v>6</v>
      </c>
      <c r="BO32" s="5">
        <v>13.759672545854603</v>
      </c>
      <c r="BP32" s="5">
        <v>13.555337043468336</v>
      </c>
      <c r="BQ32" s="5">
        <v>20.888492727775699</v>
      </c>
      <c r="BR32" s="5">
        <v>18.969582527919972</v>
      </c>
      <c r="BS32" t="s">
        <v>6</v>
      </c>
      <c r="BT32" t="s">
        <v>6</v>
      </c>
      <c r="BU32" s="5">
        <v>14.375421395927033</v>
      </c>
      <c r="BV32" s="5">
        <v>17.579264180759559</v>
      </c>
      <c r="BW32" s="5">
        <v>17.470244526093833</v>
      </c>
      <c r="BX32" s="5">
        <v>17.457997223601019</v>
      </c>
      <c r="BY32" s="5">
        <v>16.366363850926497</v>
      </c>
      <c r="BZ32" s="5">
        <v>13.950935482351191</v>
      </c>
      <c r="CA32" s="5">
        <v>14.20608774699671</v>
      </c>
    </row>
    <row r="33" spans="1:79" x14ac:dyDescent="0.2">
      <c r="A33" t="s">
        <v>63</v>
      </c>
      <c r="C33" t="s">
        <v>64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s="5">
        <v>46.155817426111213</v>
      </c>
      <c r="N33" s="5">
        <v>52.578027637156971</v>
      </c>
      <c r="O33" s="5">
        <v>92.609458593075459</v>
      </c>
      <c r="P33" s="5">
        <v>115.18584296068667</v>
      </c>
      <c r="Q33" s="5">
        <v>107.34419082667047</v>
      </c>
      <c r="R33" s="5">
        <v>114.37223649323857</v>
      </c>
      <c r="S33" s="5">
        <v>109.06205432618101</v>
      </c>
      <c r="T33" s="5">
        <v>92.147921040164235</v>
      </c>
      <c r="U33" s="5">
        <v>108.28723660874584</v>
      </c>
      <c r="V33" t="s">
        <v>6</v>
      </c>
      <c r="W33" s="5">
        <v>146.39603680654852</v>
      </c>
      <c r="X33" s="5">
        <v>151.06839155847527</v>
      </c>
      <c r="Y33" s="5">
        <v>140.3198995193919</v>
      </c>
      <c r="Z33" s="5">
        <v>113.89128967767702</v>
      </c>
      <c r="AA33" s="5">
        <v>97.880978900519509</v>
      </c>
      <c r="AB33" s="5">
        <v>98.775032072662142</v>
      </c>
      <c r="AC33" s="5">
        <v>128.91670884744124</v>
      </c>
      <c r="AD33" s="5">
        <v>122.07122927735757</v>
      </c>
      <c r="AE33" s="5">
        <v>88.266970224049373</v>
      </c>
      <c r="AF33" s="5">
        <v>55.795003302091132</v>
      </c>
      <c r="AG33" s="5">
        <v>41.162667662767525</v>
      </c>
      <c r="AH33" s="5">
        <v>27.212096673954861</v>
      </c>
      <c r="AI33" s="5">
        <v>32.955405850854724</v>
      </c>
      <c r="AJ33" s="5">
        <v>24.68059177001313</v>
      </c>
      <c r="AK33" t="s">
        <v>6</v>
      </c>
      <c r="AL33" s="5">
        <v>10.577836019958429</v>
      </c>
      <c r="AM33" s="5">
        <v>19.359449853208563</v>
      </c>
      <c r="AN33" s="5">
        <v>37.529147062110496</v>
      </c>
      <c r="AO33" s="5">
        <v>40.425327535433361</v>
      </c>
      <c r="AP33" s="5">
        <v>41.809740061200323</v>
      </c>
      <c r="AQ33" s="5">
        <v>22.001392425845129</v>
      </c>
      <c r="AR33" s="5">
        <v>23.306619796795761</v>
      </c>
      <c r="AS33" s="5">
        <v>25.044593764750182</v>
      </c>
      <c r="AT33" s="5">
        <v>35.882621575792285</v>
      </c>
      <c r="AU33" s="5">
        <v>38.964095184112288</v>
      </c>
      <c r="AV33" s="5">
        <v>45.570142936712017</v>
      </c>
      <c r="AW33" s="5">
        <v>49.592116462104862</v>
      </c>
      <c r="AX33" s="5">
        <v>50.609410686007926</v>
      </c>
      <c r="AY33" s="5">
        <v>42.644731287290981</v>
      </c>
      <c r="AZ33" s="5">
        <v>42.758144495297003</v>
      </c>
      <c r="BA33" s="5">
        <v>53.187115948795174</v>
      </c>
      <c r="BB33" s="5">
        <v>60.361342934703984</v>
      </c>
      <c r="BC33" s="5">
        <v>75.502866343623367</v>
      </c>
      <c r="BD33" s="5">
        <v>44.594114097622594</v>
      </c>
      <c r="BE33" s="5">
        <v>51.556325164565827</v>
      </c>
      <c r="BF33" s="5">
        <v>62.57513028962903</v>
      </c>
      <c r="BG33" s="5">
        <v>58.225479129520494</v>
      </c>
      <c r="BH33" s="5">
        <v>57.891122520787604</v>
      </c>
      <c r="BI33" s="5">
        <v>61.838458888884439</v>
      </c>
      <c r="BJ33" s="5">
        <v>94.874469553243486</v>
      </c>
      <c r="BK33" s="5">
        <v>83.051039581920762</v>
      </c>
      <c r="BL33" s="5">
        <v>96.523014959781605</v>
      </c>
      <c r="BM33" s="5">
        <v>91.677913447667109</v>
      </c>
      <c r="BN33" s="5">
        <v>170.42796927868005</v>
      </c>
      <c r="BO33" s="5">
        <v>262.05134779185113</v>
      </c>
      <c r="BP33" s="5">
        <v>193.06637353474107</v>
      </c>
      <c r="BQ33" s="5">
        <v>258.20099982981537</v>
      </c>
      <c r="BR33" s="5">
        <v>206.51242016325355</v>
      </c>
      <c r="BS33" s="5">
        <v>156.03077945111963</v>
      </c>
      <c r="BT33" s="5">
        <v>178.30945458589952</v>
      </c>
      <c r="BU33" s="5">
        <v>202.39488015050367</v>
      </c>
      <c r="BV33" s="5">
        <v>230.27380528437828</v>
      </c>
      <c r="BW33" s="5">
        <v>235.13619405127957</v>
      </c>
      <c r="BX33" s="5">
        <v>274.68654543488276</v>
      </c>
      <c r="BY33" s="5">
        <v>244.22677770515179</v>
      </c>
      <c r="BZ33" s="5">
        <v>285.3759346916375</v>
      </c>
      <c r="CA33" s="5">
        <v>279.16882283991714</v>
      </c>
    </row>
    <row r="34" spans="1:79" x14ac:dyDescent="0.2">
      <c r="A34" t="s">
        <v>65</v>
      </c>
      <c r="C34" t="s">
        <v>66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  <c r="AI34" s="5">
        <v>72.774917862576032</v>
      </c>
      <c r="AJ34" s="5">
        <v>51.836654278135491</v>
      </c>
      <c r="AK34" s="5">
        <v>42.405973374983539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s="5">
        <v>181.38359190727937</v>
      </c>
      <c r="AU34" s="5">
        <v>144.39782047714237</v>
      </c>
      <c r="AV34" s="5">
        <v>112.76443915146149</v>
      </c>
      <c r="AW34" s="5">
        <v>115.41206840630227</v>
      </c>
      <c r="AX34" t="s">
        <v>6</v>
      </c>
      <c r="AY34" t="s">
        <v>6</v>
      </c>
      <c r="AZ34" s="5">
        <v>112.98760182715203</v>
      </c>
      <c r="BA34" s="5">
        <v>123.20580694876121</v>
      </c>
      <c r="BB34" s="5">
        <v>162.05673429093889</v>
      </c>
      <c r="BC34" s="5">
        <v>159.11779279375278</v>
      </c>
      <c r="BD34" s="5">
        <v>321.74108419449897</v>
      </c>
      <c r="BE34" s="5">
        <v>353.94672199930437</v>
      </c>
      <c r="BF34" s="5">
        <v>274.68588325675262</v>
      </c>
      <c r="BG34" s="5">
        <v>254.5731121874654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s="5">
        <v>381.34607662584864</v>
      </c>
      <c r="BP34" s="5">
        <v>392.70507862483294</v>
      </c>
      <c r="BQ34" s="5">
        <v>375.88305384548386</v>
      </c>
      <c r="BR34" s="5">
        <v>403.45602336507073</v>
      </c>
      <c r="BS34" s="5">
        <v>326.48168404744945</v>
      </c>
      <c r="BT34" s="5">
        <v>342.17847815736576</v>
      </c>
      <c r="BU34" s="5">
        <v>335.71529273240276</v>
      </c>
      <c r="BV34" s="5">
        <v>312.56445138481553</v>
      </c>
      <c r="BW34" s="5">
        <v>309.67434133823701</v>
      </c>
      <c r="BX34" s="5">
        <v>332.12454545683687</v>
      </c>
      <c r="BY34" s="5">
        <v>485.57534891882545</v>
      </c>
      <c r="BZ34" s="5">
        <v>504.66718028627542</v>
      </c>
      <c r="CA34" s="5">
        <v>505.44329637353547</v>
      </c>
    </row>
    <row r="35" spans="1:79" x14ac:dyDescent="0.2">
      <c r="A35" t="s">
        <v>67</v>
      </c>
      <c r="C35" t="s">
        <v>68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t="s">
        <v>6</v>
      </c>
      <c r="AK35" s="5">
        <v>13.166595381932702</v>
      </c>
      <c r="AL35" s="5">
        <v>21.572238815405402</v>
      </c>
      <c r="AM35" s="5">
        <v>11.635504047916344</v>
      </c>
      <c r="AN35" s="5">
        <v>5.9985811005094902</v>
      </c>
      <c r="AO35" s="5">
        <v>7.9874860753068848</v>
      </c>
      <c r="AP35" s="5">
        <v>6.3304132034292611</v>
      </c>
      <c r="AQ35" t="s">
        <v>6</v>
      </c>
      <c r="AR35" s="5">
        <v>8.07788512443285</v>
      </c>
      <c r="AS35" t="s">
        <v>6</v>
      </c>
      <c r="AT35" t="s">
        <v>6</v>
      </c>
      <c r="AU35" t="s">
        <v>6</v>
      </c>
      <c r="AV35" t="s">
        <v>6</v>
      </c>
      <c r="AW35" s="5">
        <v>4.3148297477853159</v>
      </c>
      <c r="AX35" s="5">
        <v>4.563709451249804</v>
      </c>
      <c r="AY35" s="5">
        <v>3.7907244303555627</v>
      </c>
      <c r="AZ35" s="5">
        <v>3.5032129638081639</v>
      </c>
      <c r="BA35" s="5">
        <v>5.2302458072411238</v>
      </c>
      <c r="BB35" t="s">
        <v>6</v>
      </c>
      <c r="BC35" s="5">
        <v>19.501762211579909</v>
      </c>
      <c r="BD35" s="5">
        <v>12.603431995082277</v>
      </c>
      <c r="BE35" s="5">
        <v>11.93833607170985</v>
      </c>
      <c r="BF35" s="5">
        <v>12.168026875473158</v>
      </c>
      <c r="BG35" t="s">
        <v>6</v>
      </c>
      <c r="BH35" s="5">
        <v>17.102553639326473</v>
      </c>
      <c r="BI35" t="s">
        <v>6</v>
      </c>
      <c r="BJ35" t="s">
        <v>6</v>
      </c>
      <c r="BK35" t="s">
        <v>6</v>
      </c>
      <c r="BL35" s="5">
        <v>14.988281170903218</v>
      </c>
      <c r="BM35" s="5">
        <v>19.112095159076958</v>
      </c>
      <c r="BN35" s="5">
        <v>17.728648698120789</v>
      </c>
      <c r="BO35" s="5">
        <v>26.254913332030089</v>
      </c>
      <c r="BP35" s="5">
        <v>22.253521530052083</v>
      </c>
      <c r="BQ35" s="5">
        <v>22.361757823038804</v>
      </c>
      <c r="BR35" s="5">
        <v>20.917451516600256</v>
      </c>
      <c r="BS35" s="5">
        <v>19.081621438494007</v>
      </c>
      <c r="BT35" s="5">
        <v>22.462734088090439</v>
      </c>
      <c r="BU35" s="5">
        <v>23.602728294173044</v>
      </c>
      <c r="BV35" s="5">
        <v>26.432365769449309</v>
      </c>
      <c r="BW35" s="5">
        <v>27.480000875030797</v>
      </c>
      <c r="BX35" s="5">
        <v>27.523066156365925</v>
      </c>
      <c r="BY35" s="5">
        <v>27.037826484376307</v>
      </c>
      <c r="BZ35" s="5">
        <v>25.292392170568291</v>
      </c>
      <c r="CA35" t="s">
        <v>6</v>
      </c>
    </row>
    <row r="36" spans="1:79" x14ac:dyDescent="0.2">
      <c r="A36" t="s">
        <v>69</v>
      </c>
      <c r="C36" t="s">
        <v>0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s="5">
        <v>43.955714849362145</v>
      </c>
      <c r="P36" s="5">
        <v>14.841631517190477</v>
      </c>
      <c r="Q36" s="5">
        <v>10.794706472097152</v>
      </c>
      <c r="R36" s="5">
        <v>29.703047916301099</v>
      </c>
      <c r="S36" s="5">
        <v>93.892528582941225</v>
      </c>
      <c r="T36" s="5">
        <v>152.59200955400107</v>
      </c>
      <c r="U36" s="5">
        <v>191.54852850638855</v>
      </c>
      <c r="V36" s="5">
        <v>230.65123813086066</v>
      </c>
      <c r="W36" s="5">
        <v>235.24129798434501</v>
      </c>
      <c r="X36" s="5">
        <v>226.77599971368193</v>
      </c>
      <c r="Y36" s="5">
        <v>239.8705591653069</v>
      </c>
      <c r="Z36" s="5">
        <v>299.75093977347592</v>
      </c>
      <c r="AA36" s="5">
        <v>381.47564082306837</v>
      </c>
      <c r="AB36" s="5">
        <v>430.59423015583451</v>
      </c>
      <c r="AC36" s="5">
        <v>465.45385504911491</v>
      </c>
      <c r="AD36" s="5">
        <v>465.16771275987685</v>
      </c>
      <c r="AE36" s="5">
        <v>667.42082242328104</v>
      </c>
      <c r="AF36" s="5">
        <v>1119.2551586803706</v>
      </c>
      <c r="AG36" s="5">
        <v>1448.6934980847268</v>
      </c>
      <c r="AH36" s="5">
        <v>1576.8428432325932</v>
      </c>
      <c r="AI36" s="5">
        <v>1283.3774404534986</v>
      </c>
      <c r="AJ36" s="5">
        <v>1244.6398455398548</v>
      </c>
      <c r="AK36" s="5">
        <v>1258.3735213204982</v>
      </c>
      <c r="AL36" s="5">
        <v>1178.842675947375</v>
      </c>
      <c r="AM36" s="5">
        <v>970.60680544066531</v>
      </c>
      <c r="AN36" s="5">
        <v>815.65289599563334</v>
      </c>
      <c r="AO36" s="5">
        <v>976.63897238888342</v>
      </c>
      <c r="AP36" s="5">
        <v>1256.4748783797445</v>
      </c>
      <c r="AQ36" s="5">
        <v>1212.5950245738916</v>
      </c>
      <c r="AR36" s="5">
        <v>1125.3499007816654</v>
      </c>
      <c r="AS36" s="5">
        <v>1147.3375151574767</v>
      </c>
      <c r="AT36" s="5">
        <v>893.09952672526822</v>
      </c>
      <c r="AU36" s="5">
        <v>667.91037881644775</v>
      </c>
      <c r="AV36" s="5">
        <v>558.02079298227784</v>
      </c>
      <c r="AW36" s="5">
        <v>464.67500469059314</v>
      </c>
      <c r="AX36" s="5">
        <v>533.50479174446673</v>
      </c>
      <c r="AY36" s="5">
        <v>623.47797641955856</v>
      </c>
      <c r="AZ36" s="5">
        <v>592.67082438832472</v>
      </c>
      <c r="BA36" s="5">
        <v>558.23163184659654</v>
      </c>
      <c r="BB36" s="5">
        <v>543.32246076878062</v>
      </c>
      <c r="BC36" s="5">
        <v>583.24860185905902</v>
      </c>
      <c r="BD36" s="5">
        <v>671.19773931444308</v>
      </c>
      <c r="BE36" s="5">
        <v>722.42768412702435</v>
      </c>
      <c r="BF36" s="5">
        <v>729.38526974275396</v>
      </c>
      <c r="BG36" s="5">
        <v>719.71627320282903</v>
      </c>
      <c r="BH36" s="5">
        <v>759.17817060784091</v>
      </c>
      <c r="BI36" s="5">
        <v>750.89018002440378</v>
      </c>
      <c r="BJ36" s="5">
        <v>840.7925378878648</v>
      </c>
      <c r="BK36" s="5">
        <v>802.45965009444433</v>
      </c>
      <c r="BL36" s="5">
        <v>818.71003873444158</v>
      </c>
      <c r="BM36" s="5">
        <v>868.03491051848175</v>
      </c>
      <c r="BN36" s="5">
        <v>887.09107944143159</v>
      </c>
      <c r="BO36" s="5">
        <v>1002.7919652097328</v>
      </c>
      <c r="BP36" s="5">
        <v>990.00779053831513</v>
      </c>
      <c r="BQ36" s="5">
        <v>900.0244004438149</v>
      </c>
      <c r="BR36" s="5">
        <v>971.29800368463282</v>
      </c>
      <c r="BS36" s="5">
        <v>1044.9409532928571</v>
      </c>
      <c r="BT36" s="5">
        <v>1072.3692485575825</v>
      </c>
      <c r="BU36" s="5">
        <v>1100.2693701503526</v>
      </c>
      <c r="BV36" s="5">
        <v>1055.9894009505795</v>
      </c>
      <c r="BW36" s="5">
        <v>1044.6545217700689</v>
      </c>
      <c r="BX36" s="5">
        <v>1073.9532289560402</v>
      </c>
      <c r="BY36" s="5">
        <v>1048.7263890873289</v>
      </c>
      <c r="BZ36" s="5">
        <v>1053.7955722424294</v>
      </c>
      <c r="CA36" s="5">
        <v>1129.8061060519874</v>
      </c>
    </row>
    <row r="37" spans="1:79" x14ac:dyDescent="0.2">
      <c r="A37" t="s">
        <v>70</v>
      </c>
      <c r="C37" t="s">
        <v>2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s="7">
        <v>2.6109952923597661</v>
      </c>
      <c r="AF37" s="7">
        <v>2.7148565406009073</v>
      </c>
      <c r="AG37" s="7">
        <v>3.4536061226408012</v>
      </c>
      <c r="AH37" s="7">
        <v>3.857932857314792</v>
      </c>
      <c r="AI37" s="7">
        <v>6.6505588597652725</v>
      </c>
      <c r="AJ37" s="7">
        <v>7.0974452426632091</v>
      </c>
      <c r="AK37" s="7">
        <v>9.4572728146128089</v>
      </c>
      <c r="AL37" s="5">
        <v>7.764446352394371</v>
      </c>
      <c r="AM37" s="5">
        <v>8.0894896536887622</v>
      </c>
      <c r="AN37" s="5">
        <v>9.3638382846957047</v>
      </c>
      <c r="AO37" s="5">
        <v>10.196339941985242</v>
      </c>
      <c r="AP37" s="5">
        <v>11.013277102833122</v>
      </c>
      <c r="AQ37" s="5">
        <v>10.330087950896258</v>
      </c>
      <c r="AR37" s="5">
        <v>13.850452993821602</v>
      </c>
      <c r="AS37" s="5">
        <v>13.081680965180956</v>
      </c>
      <c r="AT37" s="5">
        <v>10.952037354941453</v>
      </c>
      <c r="AU37" s="5">
        <v>10.48552465555866</v>
      </c>
      <c r="AV37" s="5">
        <v>9.7004981958625294</v>
      </c>
      <c r="AW37" s="5">
        <v>11.373961927148363</v>
      </c>
      <c r="AX37" s="5">
        <v>14.136575295660091</v>
      </c>
      <c r="AY37" s="5">
        <v>12.639761077346064</v>
      </c>
      <c r="AZ37" s="5">
        <v>20.534399579763477</v>
      </c>
      <c r="BA37" s="5">
        <v>24.33291133614496</v>
      </c>
      <c r="BB37" s="5">
        <v>34.524333724588899</v>
      </c>
      <c r="BC37" s="5">
        <v>33.131157571714354</v>
      </c>
      <c r="BD37" s="5">
        <v>34.810724886975279</v>
      </c>
      <c r="BE37" s="5">
        <v>26.634624469595593</v>
      </c>
      <c r="BF37" s="5">
        <v>25.078694071266575</v>
      </c>
      <c r="BG37" s="5">
        <v>23.38887191742128</v>
      </c>
      <c r="BH37" s="5">
        <v>23.843855701568639</v>
      </c>
      <c r="BI37" s="5">
        <v>25.078351659757967</v>
      </c>
      <c r="BJ37" s="5">
        <v>27.318469612255154</v>
      </c>
      <c r="BK37" s="5">
        <v>19.865275305046605</v>
      </c>
      <c r="BL37" s="5">
        <v>42.473532232608129</v>
      </c>
      <c r="BM37" s="5">
        <v>56.054126054724676</v>
      </c>
      <c r="BN37" s="5">
        <v>43.571402819814942</v>
      </c>
      <c r="BO37" s="5">
        <v>42.517487070799035</v>
      </c>
      <c r="BP37" s="5">
        <v>42.935789480818677</v>
      </c>
      <c r="BQ37" s="5">
        <v>45.565046915987402</v>
      </c>
      <c r="BR37" s="5">
        <v>47.907447015270776</v>
      </c>
      <c r="BS37" s="5">
        <v>48.870621108563562</v>
      </c>
      <c r="BT37" s="5">
        <v>53.462240230074066</v>
      </c>
      <c r="BU37" s="5">
        <v>49.461175981286502</v>
      </c>
      <c r="BV37" s="5">
        <v>45.03554477037175</v>
      </c>
      <c r="BW37" s="5">
        <v>42.116844572187944</v>
      </c>
      <c r="BX37" s="5">
        <v>34.183705103780206</v>
      </c>
      <c r="BY37" s="5">
        <v>32.721505840540402</v>
      </c>
      <c r="BZ37" s="5">
        <v>34.446236515400514</v>
      </c>
      <c r="CA37" s="5">
        <v>33.807128816432517</v>
      </c>
    </row>
    <row r="38" spans="1:79" x14ac:dyDescent="0.2">
      <c r="A38" t="s">
        <v>71</v>
      </c>
      <c r="C38" t="s">
        <v>72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s="5">
        <v>32.872472350062303</v>
      </c>
      <c r="BH38" s="5">
        <v>43.767244428545773</v>
      </c>
      <c r="BI38" s="5">
        <v>23.698072672064448</v>
      </c>
      <c r="BJ38" s="5">
        <v>14.903485708070281</v>
      </c>
      <c r="BK38" s="5">
        <v>23.562996980662977</v>
      </c>
      <c r="BL38" s="5">
        <v>30.237546928297338</v>
      </c>
      <c r="BM38" s="5">
        <v>38.007415755380656</v>
      </c>
      <c r="BN38" s="5">
        <v>48.914024375976432</v>
      </c>
      <c r="BO38" s="5">
        <v>55.419407727929844</v>
      </c>
      <c r="BP38" s="5">
        <v>51.286463458387125</v>
      </c>
      <c r="BQ38" s="5">
        <v>44.890876939418938</v>
      </c>
      <c r="BR38" s="5">
        <v>42.433772711897731</v>
      </c>
      <c r="BS38" s="5">
        <v>38.756655642923214</v>
      </c>
      <c r="BT38" s="5">
        <v>31.245277652553987</v>
      </c>
      <c r="BU38" s="5">
        <v>25.088247033564677</v>
      </c>
      <c r="BV38" s="5">
        <v>19.269358722301668</v>
      </c>
      <c r="BW38" s="5">
        <v>16.476152712943811</v>
      </c>
      <c r="BX38" s="5">
        <v>35.208089123346724</v>
      </c>
      <c r="BY38" s="5">
        <v>57.467109383478956</v>
      </c>
      <c r="BZ38" s="5">
        <v>62.518000000000001</v>
      </c>
      <c r="CA38" s="5">
        <v>31.415993833792687</v>
      </c>
    </row>
    <row r="39" spans="1:79" x14ac:dyDescent="0.2">
      <c r="A39" t="s">
        <v>73</v>
      </c>
      <c r="C39" t="s">
        <v>74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s="5">
        <v>44.72045812959265</v>
      </c>
      <c r="T39" s="5">
        <v>48.617245299401532</v>
      </c>
      <c r="U39" s="5">
        <v>49.88380683870723</v>
      </c>
      <c r="V39" s="5">
        <v>52.837888203908541</v>
      </c>
      <c r="W39" s="5">
        <v>56.363292001915092</v>
      </c>
      <c r="X39" s="5">
        <v>56.982219480084524</v>
      </c>
      <c r="Y39" s="5">
        <v>55.223963679145555</v>
      </c>
      <c r="Z39" s="5">
        <v>54.967240923541233</v>
      </c>
      <c r="AA39" s="5">
        <v>59.843673130990339</v>
      </c>
      <c r="AB39" s="5">
        <v>62.912601085595021</v>
      </c>
      <c r="AC39" s="5">
        <v>70.783017619941347</v>
      </c>
      <c r="AD39" s="5">
        <v>67.944340036709349</v>
      </c>
      <c r="AE39" s="5">
        <v>78.970851223154341</v>
      </c>
      <c r="AF39" s="5">
        <v>104.77119262581621</v>
      </c>
      <c r="AG39" s="5">
        <v>107.22927714551373</v>
      </c>
      <c r="AH39" s="5">
        <v>139.0862135115967</v>
      </c>
      <c r="AI39" s="5">
        <v>128.99904855257034</v>
      </c>
      <c r="AJ39" s="5">
        <v>121.58585354692981</v>
      </c>
      <c r="AK39" t="s">
        <v>6</v>
      </c>
      <c r="AL39" t="s">
        <v>6</v>
      </c>
      <c r="AM39" s="5">
        <v>95.084005263468313</v>
      </c>
      <c r="AN39" s="5">
        <v>91.286935600531791</v>
      </c>
      <c r="AO39" s="5">
        <v>80.911677122065925</v>
      </c>
      <c r="AP39" s="5">
        <v>80.648808939676755</v>
      </c>
      <c r="AQ39" s="5">
        <v>75.091319975896951</v>
      </c>
      <c r="AR39" s="5">
        <v>72.156021343943152</v>
      </c>
      <c r="AS39" s="5">
        <v>75.462636463597391</v>
      </c>
      <c r="AT39" s="5">
        <v>78.070807191636362</v>
      </c>
      <c r="AU39" s="5">
        <v>46.088862632355138</v>
      </c>
      <c r="AV39" s="5">
        <v>70.438305095991751</v>
      </c>
      <c r="AW39" s="5">
        <v>59.239046586890254</v>
      </c>
      <c r="AX39" s="5">
        <v>54.437884313254571</v>
      </c>
      <c r="AY39" s="5">
        <v>78.755871825895653</v>
      </c>
      <c r="AZ39" s="5">
        <v>100.41147055313454</v>
      </c>
      <c r="BA39" s="5">
        <v>97.016274508620384</v>
      </c>
      <c r="BB39" s="5">
        <v>90.985941456213325</v>
      </c>
      <c r="BC39" s="5">
        <v>91.830115405327206</v>
      </c>
      <c r="BD39" s="5">
        <v>114.12359713692548</v>
      </c>
      <c r="BE39" s="5">
        <v>90.188508451532627</v>
      </c>
      <c r="BF39" s="5">
        <v>104.4274598102124</v>
      </c>
      <c r="BG39" s="5">
        <v>103.88425128550395</v>
      </c>
      <c r="BH39" s="5">
        <v>93.284654407321952</v>
      </c>
      <c r="BI39" s="5">
        <v>89.90003904752885</v>
      </c>
      <c r="BJ39" s="5">
        <v>108.36057574863919</v>
      </c>
      <c r="BK39" s="5">
        <v>113.92159772937931</v>
      </c>
      <c r="BL39" s="5">
        <v>82.296780835107626</v>
      </c>
      <c r="BM39" s="5">
        <v>64.537404020101519</v>
      </c>
      <c r="BN39" s="5">
        <v>72.237971863140743</v>
      </c>
      <c r="BO39" s="5">
        <v>70.614285124212842</v>
      </c>
      <c r="BP39" s="5">
        <v>70.258294786726339</v>
      </c>
      <c r="BQ39" s="5">
        <v>70.251100922124365</v>
      </c>
      <c r="BR39" s="5">
        <v>67.205698167346313</v>
      </c>
      <c r="BS39" s="5">
        <v>69.183719990226862</v>
      </c>
      <c r="BT39" s="5">
        <v>70.160215931168494</v>
      </c>
      <c r="BU39" s="5">
        <v>75.895198769733881</v>
      </c>
      <c r="BV39" s="5">
        <v>81.91601285048813</v>
      </c>
      <c r="BW39" s="5">
        <v>93.995808078678749</v>
      </c>
      <c r="BX39" s="5">
        <v>101.01883005327383</v>
      </c>
      <c r="BY39" s="5">
        <v>100.02889681745606</v>
      </c>
      <c r="BZ39" s="5">
        <v>101.86616111700118</v>
      </c>
      <c r="CA39" s="5">
        <v>115.41093540541716</v>
      </c>
    </row>
    <row r="40" spans="1:79" x14ac:dyDescent="0.2">
      <c r="A40" t="s">
        <v>75</v>
      </c>
      <c r="C40" t="s">
        <v>5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s="5">
        <v>8.838963182648877</v>
      </c>
      <c r="X40" s="5">
        <v>8.7683588996550643</v>
      </c>
      <c r="Y40" s="5">
        <v>8.6998717552457272</v>
      </c>
      <c r="Z40" s="5">
        <v>9.1615267728005882</v>
      </c>
      <c r="AA40" s="5">
        <v>9.8128364226146942</v>
      </c>
      <c r="AB40" s="5">
        <v>16.4847261764636</v>
      </c>
      <c r="AC40" s="5">
        <v>16.19777709485194</v>
      </c>
      <c r="AD40" s="5">
        <v>24.461105415538842</v>
      </c>
      <c r="AE40" s="5">
        <v>22.714907246169602</v>
      </c>
      <c r="AF40" s="5">
        <v>29.487082328238433</v>
      </c>
      <c r="AG40" s="5">
        <v>45.48876231636762</v>
      </c>
      <c r="AH40" s="5">
        <v>64.24772351393068</v>
      </c>
      <c r="AI40" s="5">
        <v>62.287527491975503</v>
      </c>
      <c r="AJ40" s="5">
        <v>44.506738667108472</v>
      </c>
      <c r="AK40" s="5">
        <v>33.473331669415764</v>
      </c>
      <c r="AL40" s="5">
        <v>27.031510575192936</v>
      </c>
      <c r="AM40" s="5">
        <v>22.976503321988705</v>
      </c>
      <c r="AN40" s="5">
        <v>26.590687768656984</v>
      </c>
      <c r="AO40" s="5">
        <v>31.525697462073641</v>
      </c>
      <c r="AP40" s="5">
        <v>26.149240704354384</v>
      </c>
      <c r="AQ40" s="5">
        <v>21.099740343671794</v>
      </c>
      <c r="AR40" s="5">
        <v>22.836445914189838</v>
      </c>
      <c r="AS40" s="5">
        <v>21.552376877957261</v>
      </c>
      <c r="AT40" s="5">
        <v>19.168332998397503</v>
      </c>
      <c r="AU40" s="5">
        <v>21.19795195633256</v>
      </c>
      <c r="AV40" s="5">
        <v>21.506582132103635</v>
      </c>
      <c r="AW40" s="5">
        <v>21.016659243175592</v>
      </c>
      <c r="AX40" s="5">
        <v>12.987011069501236</v>
      </c>
      <c r="AY40" s="5">
        <v>17.244016340748079</v>
      </c>
      <c r="AZ40" s="5">
        <v>22.240762397964644</v>
      </c>
      <c r="BA40" s="5">
        <v>17.75326203616228</v>
      </c>
      <c r="BB40" s="5">
        <v>17.310103516936607</v>
      </c>
      <c r="BC40" s="5">
        <v>14.690108975660651</v>
      </c>
      <c r="BD40" s="5">
        <v>15.697995373926377</v>
      </c>
      <c r="BE40" s="5">
        <v>16.975873951156938</v>
      </c>
      <c r="BF40" s="5">
        <v>17.429552370723254</v>
      </c>
      <c r="BG40" s="5">
        <v>29.271957100281366</v>
      </c>
      <c r="BH40" s="5">
        <v>47.982611891919206</v>
      </c>
      <c r="BI40" s="5">
        <v>39.341091624205845</v>
      </c>
      <c r="BJ40" s="5">
        <v>40.525806136638472</v>
      </c>
      <c r="BK40" s="5">
        <v>49.531486989726034</v>
      </c>
      <c r="BL40" s="5">
        <v>60.687123104973068</v>
      </c>
      <c r="BM40" s="5">
        <v>51.201904262789654</v>
      </c>
      <c r="BN40" s="5">
        <v>52.273258201657235</v>
      </c>
      <c r="BO40" s="5">
        <v>59.965831311879043</v>
      </c>
      <c r="BP40" s="5">
        <v>93.958035111976884</v>
      </c>
      <c r="BQ40" s="5">
        <v>69.55304873532269</v>
      </c>
      <c r="BR40" s="5">
        <v>55.144956377820868</v>
      </c>
      <c r="BS40" s="5">
        <v>56.007838551760301</v>
      </c>
      <c r="BT40" s="5">
        <v>69.265766259744382</v>
      </c>
      <c r="BU40" s="5">
        <v>75.910482205383602</v>
      </c>
      <c r="BV40" s="5">
        <v>101.75233105438622</v>
      </c>
      <c r="BW40" s="5">
        <v>110.16408360431207</v>
      </c>
      <c r="BX40" s="5">
        <v>99.814704894737517</v>
      </c>
      <c r="BY40" s="5">
        <v>124.69292227941385</v>
      </c>
      <c r="BZ40" s="5">
        <v>149.58233654066032</v>
      </c>
      <c r="CA40" s="5">
        <v>136.43785529315193</v>
      </c>
    </row>
    <row r="41" spans="1:79" x14ac:dyDescent="0.2">
      <c r="A41" t="s">
        <v>76</v>
      </c>
      <c r="C41" t="s">
        <v>3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s="7">
        <v>29.504244184145659</v>
      </c>
      <c r="U41" s="5">
        <v>26.947835109366746</v>
      </c>
      <c r="V41" s="5">
        <v>27.477179254573777</v>
      </c>
      <c r="W41" s="5">
        <v>28.576266424756724</v>
      </c>
      <c r="X41" s="5">
        <v>32.423071520397059</v>
      </c>
      <c r="Y41" s="5">
        <v>36.98653287027949</v>
      </c>
      <c r="Z41" s="5">
        <v>28.774168525490573</v>
      </c>
      <c r="AA41" s="5">
        <v>35.153480986481483</v>
      </c>
      <c r="AB41" s="5">
        <v>34.568368599564984</v>
      </c>
      <c r="AC41" s="5">
        <v>35.432476867326564</v>
      </c>
      <c r="AD41" s="5">
        <v>49.027501137433781</v>
      </c>
      <c r="AE41" s="5">
        <v>57.728108525357122</v>
      </c>
      <c r="AF41" s="5">
        <v>56.844224302819342</v>
      </c>
      <c r="AG41" s="5">
        <v>46.588319315715609</v>
      </c>
      <c r="AH41" s="5">
        <v>53.533581027299277</v>
      </c>
      <c r="AI41" s="5">
        <v>46.022792112236147</v>
      </c>
      <c r="AJ41" s="5">
        <v>43.350700802704232</v>
      </c>
      <c r="AK41" s="5">
        <v>47.08212460615546</v>
      </c>
      <c r="AL41" s="5">
        <v>44.804834578599497</v>
      </c>
      <c r="AM41" s="5">
        <v>44.039438091823087</v>
      </c>
      <c r="AN41" s="5">
        <v>48.740386378411515</v>
      </c>
      <c r="AO41" s="5">
        <v>47.950499167973831</v>
      </c>
      <c r="AP41" s="5">
        <v>57.670776263044139</v>
      </c>
      <c r="AQ41" s="5">
        <v>56.914009118535944</v>
      </c>
      <c r="AR41" s="5">
        <v>58.550950938277225</v>
      </c>
      <c r="AS41" s="5">
        <v>56.218535800924116</v>
      </c>
      <c r="AT41" t="s">
        <v>6</v>
      </c>
      <c r="AU41" t="s">
        <v>6</v>
      </c>
      <c r="AV41" s="7">
        <v>52.402631351783477</v>
      </c>
      <c r="AW41" s="7">
        <v>56.048196553414229</v>
      </c>
      <c r="AX41" s="7">
        <v>60.121826748479727</v>
      </c>
      <c r="AY41" s="7">
        <v>56.569635646280723</v>
      </c>
      <c r="AZ41" s="7">
        <v>65.725600430303729</v>
      </c>
      <c r="BA41" s="7">
        <v>65.057288617889853</v>
      </c>
      <c r="BB41" s="7">
        <v>73.467587856783894</v>
      </c>
      <c r="BC41" s="7">
        <v>85.201152668626321</v>
      </c>
      <c r="BD41" s="7">
        <v>85.687774040208069</v>
      </c>
      <c r="BE41" s="7">
        <v>85.301441117736744</v>
      </c>
      <c r="BF41" s="7">
        <v>97.525491904902708</v>
      </c>
      <c r="BG41" s="7">
        <v>106.09257113733975</v>
      </c>
      <c r="BH41" s="5">
        <v>111.1715146245824</v>
      </c>
      <c r="BI41" s="5">
        <v>120.52583736017688</v>
      </c>
      <c r="BJ41" s="5">
        <v>125.23991262368429</v>
      </c>
      <c r="BK41" s="5">
        <v>138.79052439044369</v>
      </c>
      <c r="BL41" s="5">
        <v>144.34241361619937</v>
      </c>
      <c r="BM41" s="5">
        <v>152.17892017352281</v>
      </c>
      <c r="BN41" s="5">
        <v>154.51958043305194</v>
      </c>
      <c r="BO41" s="5">
        <v>146.71001771099597</v>
      </c>
      <c r="BP41" s="5">
        <v>147.60559451693854</v>
      </c>
      <c r="BQ41" s="5">
        <v>207.61161046804656</v>
      </c>
      <c r="BR41" s="5">
        <v>346.99967156846782</v>
      </c>
      <c r="BS41" s="5">
        <v>415.38543746730858</v>
      </c>
      <c r="BT41" s="5">
        <v>513.14187896979342</v>
      </c>
      <c r="BU41" s="5">
        <v>506.90257535728472</v>
      </c>
      <c r="BV41" s="5">
        <v>536.57391958544076</v>
      </c>
      <c r="BW41" s="5">
        <v>655.08700152362235</v>
      </c>
      <c r="BX41" s="5">
        <v>667.89144914474207</v>
      </c>
      <c r="BY41" s="5">
        <v>610.74454166681278</v>
      </c>
      <c r="BZ41" s="5">
        <v>785.26500846722274</v>
      </c>
      <c r="CA41" s="5">
        <v>906.37151761627251</v>
      </c>
    </row>
    <row r="42" spans="1:79" x14ac:dyDescent="0.2">
      <c r="A42" t="s">
        <v>77</v>
      </c>
      <c r="C42" t="s">
        <v>2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s="5">
        <v>68.616978251581003</v>
      </c>
      <c r="AO42" s="5">
        <v>63.728109256389864</v>
      </c>
      <c r="AP42" s="5">
        <v>60.267807510474412</v>
      </c>
      <c r="AQ42" s="5">
        <v>59.574923491994952</v>
      </c>
      <c r="AR42" s="5">
        <v>52.654777659738379</v>
      </c>
      <c r="AS42" s="5">
        <v>49.547603541778258</v>
      </c>
      <c r="AT42" s="5">
        <v>46.805947985212505</v>
      </c>
      <c r="AU42" s="5">
        <v>45.060036442999248</v>
      </c>
      <c r="AV42" s="5">
        <v>43.796270969060956</v>
      </c>
      <c r="AW42" s="5">
        <v>42.071468594019045</v>
      </c>
      <c r="AX42" s="5">
        <v>44.981485702113837</v>
      </c>
      <c r="AY42" s="5">
        <v>53.818519502228774</v>
      </c>
      <c r="AZ42" s="5">
        <v>62.500845843081144</v>
      </c>
      <c r="BA42" s="5">
        <v>44.208037965574889</v>
      </c>
      <c r="BB42" s="5">
        <v>58.924567707796328</v>
      </c>
      <c r="BC42" s="5">
        <v>77.129829366648337</v>
      </c>
      <c r="BD42" s="5">
        <v>107.88102304986049</v>
      </c>
      <c r="BE42" s="5">
        <v>77.23258931824833</v>
      </c>
      <c r="BF42" s="5">
        <v>122.37210103132867</v>
      </c>
      <c r="BG42" s="5">
        <v>125.87548822747566</v>
      </c>
      <c r="BH42" s="5">
        <v>106.55582726751565</v>
      </c>
      <c r="BI42" s="5">
        <v>124.66206990770578</v>
      </c>
      <c r="BJ42" s="5">
        <v>0</v>
      </c>
      <c r="BK42" s="5">
        <v>144.57790874992182</v>
      </c>
      <c r="BL42" s="5">
        <v>145.04773923302707</v>
      </c>
      <c r="BM42" s="5">
        <v>0</v>
      </c>
      <c r="BN42" s="5">
        <v>0</v>
      </c>
      <c r="BO42" s="5">
        <v>172.4662932308818</v>
      </c>
      <c r="BP42" s="5">
        <v>170.15564621385926</v>
      </c>
      <c r="BQ42" s="5">
        <v>166.18518086257507</v>
      </c>
      <c r="BR42" s="5">
        <v>158.41778482297312</v>
      </c>
      <c r="BS42" s="5">
        <v>174.98811772413313</v>
      </c>
      <c r="BT42" s="5">
        <v>182.64164691560546</v>
      </c>
      <c r="BU42" s="5">
        <v>195.05061376605533</v>
      </c>
      <c r="BV42" s="5">
        <v>198.22759451017976</v>
      </c>
      <c r="BW42" s="5">
        <v>244.74546628290747</v>
      </c>
      <c r="BX42" s="5">
        <v>261.66819951825818</v>
      </c>
      <c r="BY42" s="5">
        <v>240.66486440573419</v>
      </c>
      <c r="BZ42" s="5">
        <v>277.1614963252498</v>
      </c>
      <c r="CA42" s="5">
        <v>276.73081192248179</v>
      </c>
    </row>
    <row r="43" spans="1:79" x14ac:dyDescent="0.2">
      <c r="A43" t="s">
        <v>78</v>
      </c>
      <c r="C43" t="s">
        <v>0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s="5">
        <v>1.7981666777909397</v>
      </c>
      <c r="S43" s="5">
        <v>1.8382462155274375</v>
      </c>
      <c r="T43" s="5">
        <v>1.8120195534095402</v>
      </c>
      <c r="U43" s="5">
        <v>1.7736116645360309</v>
      </c>
      <c r="V43" s="5">
        <v>1.7409075355455939</v>
      </c>
      <c r="W43" s="5">
        <v>1.6219755303753074</v>
      </c>
      <c r="X43" s="5">
        <v>1.9697426036828194</v>
      </c>
      <c r="Y43" s="5">
        <v>2.3858906712158046</v>
      </c>
      <c r="Z43" s="5">
        <v>2.6885886980866682</v>
      </c>
      <c r="AA43" s="5">
        <v>2.845280816746306</v>
      </c>
      <c r="AB43" s="5">
        <v>3.0268271444036183</v>
      </c>
      <c r="AC43" s="5">
        <v>3.0140689576140849</v>
      </c>
      <c r="AD43" s="5">
        <v>3.8235961981630671</v>
      </c>
      <c r="AE43" s="5">
        <v>4.5478558304885643</v>
      </c>
      <c r="AF43" s="5">
        <v>4.44977854571738</v>
      </c>
      <c r="AG43" s="5">
        <v>4.7100344705474084</v>
      </c>
      <c r="AH43" s="5">
        <v>5.9626232351020194</v>
      </c>
      <c r="AI43" s="5">
        <v>11.416566508493618</v>
      </c>
      <c r="AJ43" s="5">
        <v>11.169619232388815</v>
      </c>
      <c r="AK43" s="5">
        <v>6.4695636880833156</v>
      </c>
      <c r="AL43" s="5">
        <v>6.8443921449171077</v>
      </c>
      <c r="AM43" s="5">
        <v>6.7167063010825467</v>
      </c>
      <c r="AN43" s="5">
        <v>6.3471961092570295</v>
      </c>
      <c r="AO43" s="5">
        <v>6.6729880054991035</v>
      </c>
      <c r="AP43" s="5">
        <v>8.0002991055350119</v>
      </c>
      <c r="AQ43" s="5">
        <v>9.8240032088250135</v>
      </c>
      <c r="AR43" s="5">
        <v>13.355693864699887</v>
      </c>
      <c r="AS43" s="5">
        <v>16.646466677039896</v>
      </c>
      <c r="AT43" s="5">
        <v>18.725726391644304</v>
      </c>
      <c r="AU43" s="5">
        <v>19.370589039965033</v>
      </c>
      <c r="AV43" s="5">
        <v>18.744211375602987</v>
      </c>
      <c r="AW43" s="5">
        <v>19.549589200521122</v>
      </c>
      <c r="AX43" s="5">
        <v>20.247916596177127</v>
      </c>
      <c r="AY43" s="5">
        <v>18.925817907432144</v>
      </c>
      <c r="AZ43" s="5">
        <v>15.702951455197352</v>
      </c>
      <c r="BA43" s="5">
        <v>14.452351038858659</v>
      </c>
      <c r="BB43" s="5">
        <v>15.170665197064475</v>
      </c>
      <c r="BC43" s="5">
        <v>15.710210253763625</v>
      </c>
      <c r="BD43" s="5">
        <v>15.865429433728815</v>
      </c>
      <c r="BE43" s="5">
        <v>16.231066988576494</v>
      </c>
      <c r="BF43" s="5">
        <v>16.658248922427582</v>
      </c>
      <c r="BG43" s="5">
        <v>15.754324744852983</v>
      </c>
      <c r="BH43" s="5">
        <v>16.031616778255913</v>
      </c>
      <c r="BI43" s="5">
        <v>15.718922895068717</v>
      </c>
      <c r="BJ43" s="5">
        <v>15.343238416022645</v>
      </c>
      <c r="BK43" s="5">
        <v>17.016913404601308</v>
      </c>
      <c r="BL43" s="5">
        <v>18.329208630429207</v>
      </c>
      <c r="BM43" s="5">
        <v>16.657496050928149</v>
      </c>
      <c r="BN43" s="5">
        <v>17.167483577577251</v>
      </c>
      <c r="BO43" s="5">
        <v>16.464927079414966</v>
      </c>
      <c r="BP43" s="5">
        <v>22.62159278423341</v>
      </c>
      <c r="BQ43" s="5">
        <v>18.602625166337667</v>
      </c>
      <c r="BR43" s="5">
        <v>18.196218265457446</v>
      </c>
      <c r="BS43" s="5">
        <v>23.525328733297741</v>
      </c>
      <c r="BT43" s="5">
        <v>22.693170833553868</v>
      </c>
      <c r="BU43" s="5">
        <v>21.986086457647797</v>
      </c>
      <c r="BV43" s="5">
        <v>21.33722688783477</v>
      </c>
      <c r="BW43" s="5">
        <v>19.790416103006503</v>
      </c>
      <c r="BX43" s="5">
        <v>21.516831278200161</v>
      </c>
      <c r="BY43" s="5">
        <v>18.73717369198252</v>
      </c>
      <c r="BZ43" s="5">
        <v>19.936715863076142</v>
      </c>
      <c r="CA43" s="5">
        <v>22.732282774044137</v>
      </c>
    </row>
    <row r="44" spans="1:79" x14ac:dyDescent="0.2">
      <c r="A44" t="s">
        <v>79</v>
      </c>
      <c r="C44" t="s">
        <v>80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s="7">
        <v>130.05279471443035</v>
      </c>
      <c r="AJ44" s="7">
        <v>145.8201187901239</v>
      </c>
      <c r="AK44" s="7">
        <v>137.76305331147745</v>
      </c>
      <c r="AL44" s="7">
        <v>128.90069076141165</v>
      </c>
      <c r="AM44" s="7">
        <v>123.24308277236757</v>
      </c>
      <c r="AN44" s="7">
        <v>103.69417998778515</v>
      </c>
      <c r="AO44" s="7">
        <v>79.711597661609204</v>
      </c>
      <c r="AP44" s="7">
        <v>106.26561666068373</v>
      </c>
      <c r="AQ44" s="7">
        <v>97.576134532198267</v>
      </c>
      <c r="AR44" s="7">
        <v>122.41458770000145</v>
      </c>
      <c r="AS44" s="7">
        <v>111.12436131227533</v>
      </c>
      <c r="AT44" s="7">
        <v>104.45143415269352</v>
      </c>
      <c r="AU44" s="7">
        <v>104.85287273959773</v>
      </c>
      <c r="AV44" s="7">
        <v>113.01480596770584</v>
      </c>
      <c r="AW44" s="7">
        <v>132.54377357005146</v>
      </c>
      <c r="AX44" s="7">
        <v>61.60569742545303</v>
      </c>
      <c r="AY44" s="7">
        <v>55.912943519464555</v>
      </c>
      <c r="AZ44" s="7">
        <v>62.057399588696356</v>
      </c>
      <c r="BA44" s="7">
        <v>73.756393450038914</v>
      </c>
      <c r="BB44" s="5">
        <v>88.48701892368436</v>
      </c>
      <c r="BC44" s="5">
        <v>91.664047590320735</v>
      </c>
      <c r="BD44" s="5">
        <v>104.49062520180875</v>
      </c>
      <c r="BE44" s="5">
        <v>108.18400098829117</v>
      </c>
      <c r="BF44" s="5">
        <v>106.9803162464583</v>
      </c>
      <c r="BG44" s="5">
        <v>117.13044364488536</v>
      </c>
      <c r="BH44" s="5">
        <v>90.119915989781148</v>
      </c>
      <c r="BI44" s="5">
        <v>80.883193470270413</v>
      </c>
      <c r="BJ44" s="5">
        <v>89.043613444365462</v>
      </c>
      <c r="BK44" s="5">
        <v>89.198584967248493</v>
      </c>
      <c r="BL44" s="5">
        <v>98.021761830835445</v>
      </c>
      <c r="BM44" s="5">
        <v>126.59643706927382</v>
      </c>
      <c r="BN44" s="5">
        <v>116.80912519795949</v>
      </c>
      <c r="BO44" s="5">
        <v>130.04275186357901</v>
      </c>
      <c r="BP44" s="5">
        <v>150.20988760092942</v>
      </c>
      <c r="BQ44" s="5">
        <v>167.86406681189538</v>
      </c>
      <c r="BR44" s="5">
        <v>159.45716555631438</v>
      </c>
      <c r="BS44" s="5">
        <v>175.8607820400041</v>
      </c>
      <c r="BT44" s="5">
        <v>180.25984178013169</v>
      </c>
      <c r="BU44" s="5">
        <v>249.44377711440205</v>
      </c>
      <c r="BV44" s="5">
        <v>268.14135699606641</v>
      </c>
      <c r="BW44" s="5">
        <v>394.55022112141268</v>
      </c>
      <c r="BX44" s="5">
        <v>374.29223810768207</v>
      </c>
      <c r="BY44" s="5">
        <v>446.35820912845355</v>
      </c>
      <c r="BZ44" s="5">
        <v>404.3991853360489</v>
      </c>
      <c r="CA44" s="5">
        <v>435.35904296444988</v>
      </c>
    </row>
    <row r="45" spans="1:79" x14ac:dyDescent="0.2">
      <c r="A45" t="s">
        <v>81</v>
      </c>
      <c r="C45" t="s">
        <v>5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s="5">
        <v>236.45177648165821</v>
      </c>
      <c r="AT45" s="5">
        <v>205.0973466857703</v>
      </c>
      <c r="AU45" s="5">
        <v>149.94775658771857</v>
      </c>
      <c r="AV45" s="5">
        <v>88.509094363944996</v>
      </c>
      <c r="AW45" s="5">
        <v>69.683740423029988</v>
      </c>
      <c r="AX45" s="5">
        <v>76.740207840097995</v>
      </c>
      <c r="AY45" s="5">
        <v>81.504543696818217</v>
      </c>
      <c r="AZ45" s="5">
        <v>100.25263725261892</v>
      </c>
      <c r="BA45" s="5">
        <v>106.40975717924951</v>
      </c>
      <c r="BB45" s="5">
        <v>144.09673027586467</v>
      </c>
      <c r="BC45" s="5">
        <v>129.74112279470884</v>
      </c>
      <c r="BD45" s="5">
        <v>152.92558819639299</v>
      </c>
      <c r="BE45" s="5">
        <v>151.0639440506728</v>
      </c>
      <c r="BF45" s="5">
        <v>148.86905546563807</v>
      </c>
      <c r="BG45" s="5">
        <v>157.48098890600082</v>
      </c>
      <c r="BH45" s="5">
        <v>174.33477913186809</v>
      </c>
      <c r="BI45" s="5">
        <v>183.75514303562363</v>
      </c>
      <c r="BJ45" s="5">
        <v>205.16634270034015</v>
      </c>
      <c r="BK45" s="5">
        <v>257.31510799624834</v>
      </c>
      <c r="BL45" s="5">
        <v>271.2691761888467</v>
      </c>
      <c r="BM45" s="5">
        <v>295.87390539522846</v>
      </c>
      <c r="BN45" s="5">
        <v>312.61664778860683</v>
      </c>
      <c r="BO45" s="5">
        <v>307.7385511076921</v>
      </c>
      <c r="BP45" s="5">
        <v>324.24755554385882</v>
      </c>
      <c r="BQ45" s="5">
        <v>476.81157115491129</v>
      </c>
      <c r="BR45" s="5">
        <v>522.74178862154042</v>
      </c>
      <c r="BS45" s="5">
        <v>463.92664660288898</v>
      </c>
      <c r="BT45" s="5">
        <v>421.76207818012949</v>
      </c>
      <c r="BU45" s="5">
        <v>403.8073546354421</v>
      </c>
      <c r="BV45" s="5">
        <v>385.50163731966381</v>
      </c>
      <c r="BW45" s="5">
        <v>382.76314529275743</v>
      </c>
      <c r="BX45" s="5">
        <v>360.2538554399265</v>
      </c>
      <c r="BY45" s="5">
        <v>343.59711888524805</v>
      </c>
      <c r="BZ45" s="5">
        <v>339.40513187653556</v>
      </c>
      <c r="CA45" s="5">
        <v>344.37573797980718</v>
      </c>
    </row>
    <row r="46" spans="1:79" x14ac:dyDescent="0.2">
      <c r="A46" t="s">
        <v>82</v>
      </c>
      <c r="C46" t="s">
        <v>5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s="5">
        <v>15.284028168992727</v>
      </c>
      <c r="AE46" s="5">
        <v>15.397032977437613</v>
      </c>
      <c r="AF46" s="5">
        <v>17.284876867849235</v>
      </c>
      <c r="AG46" s="5">
        <v>19.351059828488182</v>
      </c>
      <c r="AH46" s="5">
        <v>20.123132239920743</v>
      </c>
      <c r="AI46" s="5">
        <v>17.659364413150183</v>
      </c>
      <c r="AJ46" s="5">
        <v>15.165514134344329</v>
      </c>
      <c r="AK46" s="5">
        <v>15.013986358896226</v>
      </c>
      <c r="AL46" s="5">
        <v>17.259653212484565</v>
      </c>
      <c r="AM46" s="5">
        <v>15.717670986576726</v>
      </c>
      <c r="AN46" s="5">
        <v>16.687073866077817</v>
      </c>
      <c r="AO46" s="5">
        <v>17.60694429727258</v>
      </c>
      <c r="AP46" s="5">
        <v>15.527086155593995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s="5">
        <v>32.600765879686222</v>
      </c>
      <c r="AX46" s="5">
        <v>27.966156307456817</v>
      </c>
      <c r="AY46" s="5">
        <v>25.695232208798249</v>
      </c>
      <c r="AZ46" s="5">
        <v>28.328747537401597</v>
      </c>
      <c r="BA46" s="5">
        <v>34.876553212430913</v>
      </c>
      <c r="BB46" s="5">
        <v>39.817417631772081</v>
      </c>
      <c r="BC46" s="5">
        <v>38.161472040695301</v>
      </c>
      <c r="BD46" s="5">
        <v>46.69862609515981</v>
      </c>
      <c r="BE46" s="5">
        <v>36.00192124434642</v>
      </c>
      <c r="BF46" s="5">
        <v>36.338560416814218</v>
      </c>
      <c r="BG46" s="5">
        <v>42.32621495241245</v>
      </c>
      <c r="BH46" s="5">
        <v>40.675264429714488</v>
      </c>
      <c r="BI46" t="s">
        <v>6</v>
      </c>
      <c r="BJ46" t="s">
        <v>6</v>
      </c>
      <c r="BK46" s="5">
        <v>50.682704685096674</v>
      </c>
      <c r="BL46" s="5">
        <v>52.508107636362915</v>
      </c>
      <c r="BM46" s="5">
        <v>68.954906347162776</v>
      </c>
      <c r="BN46" s="5">
        <v>80.092046339807155</v>
      </c>
      <c r="BO46" s="5">
        <v>152.96929515068669</v>
      </c>
      <c r="BP46" s="5">
        <v>103.09986136813619</v>
      </c>
      <c r="BQ46" s="5">
        <v>142.96836997265638</v>
      </c>
      <c r="BR46" t="s">
        <v>6</v>
      </c>
      <c r="BS46" s="5">
        <v>193.70759615682181</v>
      </c>
      <c r="BT46" s="5">
        <v>224.69516524825758</v>
      </c>
      <c r="BU46" s="5">
        <v>236.92713340850847</v>
      </c>
      <c r="BV46" s="5">
        <v>276.25870725537226</v>
      </c>
      <c r="BW46" s="5">
        <v>253.70330685640374</v>
      </c>
      <c r="BX46" s="5">
        <v>200.03412943051498</v>
      </c>
      <c r="BY46" s="5">
        <v>258.57125220908148</v>
      </c>
      <c r="BZ46" s="5">
        <v>331.9173103256951</v>
      </c>
      <c r="CA46" s="5">
        <v>404.12439218621967</v>
      </c>
    </row>
    <row r="47" spans="1:79" x14ac:dyDescent="0.2">
      <c r="A47" t="s">
        <v>83</v>
      </c>
      <c r="C47" t="s">
        <v>84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s="7">
        <v>208.87555221239819</v>
      </c>
      <c r="P47" s="7">
        <v>237.72500321188505</v>
      </c>
      <c r="Q47" s="7">
        <v>308.56457033000942</v>
      </c>
      <c r="R47" s="7">
        <v>373.40803317124391</v>
      </c>
      <c r="S47" s="7">
        <v>442.00435002775384</v>
      </c>
      <c r="T47" s="7">
        <v>515.40703003090698</v>
      </c>
      <c r="U47" s="7">
        <v>397.04869648132382</v>
      </c>
      <c r="V47" s="7">
        <v>1776.0859328848446</v>
      </c>
      <c r="W47" s="7">
        <v>2744.5530429966761</v>
      </c>
      <c r="X47" s="7">
        <v>4621.0182111153072</v>
      </c>
      <c r="Y47" s="7">
        <v>3930.9056286944819</v>
      </c>
      <c r="Z47" s="7">
        <v>3264.1018868408109</v>
      </c>
      <c r="AA47" s="7">
        <v>4118.0670128024758</v>
      </c>
      <c r="AB47" s="7">
        <v>4408.8227896064163</v>
      </c>
      <c r="AC47" s="7">
        <v>4964.5652746079177</v>
      </c>
      <c r="AD47" s="7">
        <v>8111.9447375492427</v>
      </c>
      <c r="AE47" s="7">
        <v>5801.0505611862627</v>
      </c>
      <c r="AF47" s="7">
        <v>6154.5314745001706</v>
      </c>
      <c r="AG47" s="7">
        <v>4799.3185766788483</v>
      </c>
      <c r="AH47" s="7">
        <v>4149.9009572841032</v>
      </c>
      <c r="AI47" s="7">
        <v>3370.5653825409222</v>
      </c>
      <c r="AJ47" s="5">
        <v>2221.3845707921014</v>
      </c>
      <c r="AK47" s="5">
        <v>1739.5599381430031</v>
      </c>
      <c r="AL47" s="5">
        <v>1496.1036111712301</v>
      </c>
      <c r="AM47" s="5">
        <v>999.7809545369297</v>
      </c>
      <c r="AN47" s="5">
        <v>978.21118241140744</v>
      </c>
      <c r="AO47" s="5">
        <v>860.06272164036761</v>
      </c>
      <c r="AP47" s="5">
        <v>690.23697164038947</v>
      </c>
      <c r="AQ47" s="5">
        <v>678.35761752902147</v>
      </c>
      <c r="AR47" s="5">
        <v>460.80470791704482</v>
      </c>
      <c r="AS47" s="5">
        <v>760.96342648709219</v>
      </c>
      <c r="AT47" s="5">
        <v>729.56778333932618</v>
      </c>
      <c r="AU47" s="5">
        <v>627.64414391458388</v>
      </c>
      <c r="AV47" s="5">
        <v>848.42423063990418</v>
      </c>
      <c r="AW47" s="5">
        <v>595.31619164654501</v>
      </c>
      <c r="AX47" s="5">
        <v>685.74719317597089</v>
      </c>
      <c r="AY47" s="5">
        <v>581.63746095053409</v>
      </c>
      <c r="AZ47" s="5">
        <v>625.65179626874158</v>
      </c>
      <c r="BA47" s="5">
        <v>798.65913451708354</v>
      </c>
      <c r="BB47" s="5">
        <v>1351.5748614253082</v>
      </c>
      <c r="BC47" s="5">
        <v>1043.7266085946353</v>
      </c>
      <c r="BD47" s="5">
        <v>1486.5102704338808</v>
      </c>
      <c r="BE47" s="5">
        <v>2243.883907768075</v>
      </c>
      <c r="BF47" s="5">
        <v>1381.2494843775107</v>
      </c>
      <c r="BG47" s="5">
        <v>1345.6265824122906</v>
      </c>
      <c r="BH47" s="5">
        <v>1188.1163259728726</v>
      </c>
      <c r="BI47" s="5">
        <v>1238.4015411205626</v>
      </c>
      <c r="BJ47" s="5">
        <v>1438.2612411749319</v>
      </c>
      <c r="BK47" s="5">
        <v>2020.1277017545719</v>
      </c>
      <c r="BL47" s="5">
        <v>2099.4238246644095</v>
      </c>
      <c r="BM47" s="5">
        <v>2464.9141440369658</v>
      </c>
      <c r="BN47" s="5">
        <v>2744.1080496596369</v>
      </c>
      <c r="BO47" s="5">
        <v>2417.3593914774419</v>
      </c>
      <c r="BP47" s="5">
        <v>2323.689341970548</v>
      </c>
      <c r="BQ47" s="5">
        <v>2112.8358864099546</v>
      </c>
      <c r="BR47" s="5">
        <v>2061.0038695504841</v>
      </c>
      <c r="BS47" s="5">
        <v>1990.2259041862596</v>
      </c>
      <c r="BT47" s="5">
        <v>1903.4971320256545</v>
      </c>
      <c r="BU47" s="5">
        <v>2245.6659647491665</v>
      </c>
      <c r="BV47" s="5">
        <v>2060.0767100680537</v>
      </c>
      <c r="BW47" s="5">
        <v>2651.9959165316427</v>
      </c>
      <c r="BX47" s="5">
        <v>4147.4208198681645</v>
      </c>
      <c r="BY47" s="5">
        <v>2574.9499863845181</v>
      </c>
      <c r="BZ47" s="5">
        <v>3101.2595628972931</v>
      </c>
      <c r="CA47" s="5">
        <v>1989.3286738165616</v>
      </c>
    </row>
    <row r="48" spans="1:79" x14ac:dyDescent="0.2">
      <c r="A48" t="s">
        <v>85</v>
      </c>
      <c r="C48" t="s">
        <v>86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s="5">
        <v>57.297134362579676</v>
      </c>
      <c r="AC48" s="5">
        <v>40.261070798525594</v>
      </c>
      <c r="AD48" s="5">
        <v>36.723780525123118</v>
      </c>
      <c r="AE48" s="5">
        <v>39.806848692636457</v>
      </c>
      <c r="AF48" s="5">
        <v>54.026343757568277</v>
      </c>
      <c r="AG48" s="5">
        <v>39.865967136718197</v>
      </c>
      <c r="AH48" s="5">
        <v>45.542071276561281</v>
      </c>
      <c r="AI48" s="5">
        <v>50.572184923712776</v>
      </c>
      <c r="AJ48" s="5">
        <v>58.593595767907196</v>
      </c>
      <c r="AK48" s="5">
        <v>54.593244962309761</v>
      </c>
      <c r="AL48" s="5">
        <v>52.603344105579659</v>
      </c>
      <c r="AM48" s="5">
        <v>47.308838885655113</v>
      </c>
      <c r="AN48" s="5">
        <v>50.26198152039882</v>
      </c>
      <c r="AO48" s="5">
        <v>56.301519206244414</v>
      </c>
      <c r="AP48" s="5">
        <v>50.740779528671482</v>
      </c>
      <c r="AQ48" s="5">
        <v>48.104788605801588</v>
      </c>
      <c r="AR48" s="5">
        <v>56.740320359550402</v>
      </c>
      <c r="AS48" s="5">
        <v>129.99699494266315</v>
      </c>
      <c r="AT48" s="5">
        <v>179.90284018005775</v>
      </c>
      <c r="AU48" s="5">
        <v>147.75146171158053</v>
      </c>
      <c r="AV48" s="5">
        <v>143.00026534130933</v>
      </c>
      <c r="AW48" s="5">
        <v>48.901459147370751</v>
      </c>
      <c r="AX48" s="5">
        <v>82.470354793674858</v>
      </c>
      <c r="AY48" s="5">
        <v>117.24499805182295</v>
      </c>
      <c r="AZ48" s="5">
        <v>107.91056943185609</v>
      </c>
      <c r="BA48" s="5">
        <v>118.60726297586592</v>
      </c>
      <c r="BB48" s="5">
        <v>120.63760972196663</v>
      </c>
      <c r="BC48" s="5">
        <v>102.77873740590377</v>
      </c>
      <c r="BD48" s="5">
        <v>104.86376885128151</v>
      </c>
      <c r="BE48" s="5">
        <v>99.143122834417781</v>
      </c>
      <c r="BF48" s="5">
        <v>92.269334121149313</v>
      </c>
      <c r="BG48" s="5">
        <v>80.507987805651126</v>
      </c>
      <c r="BH48" s="5">
        <v>77.884871190347383</v>
      </c>
      <c r="BI48" s="5">
        <v>85.780089231163473</v>
      </c>
      <c r="BJ48" s="5">
        <v>79.422870193302487</v>
      </c>
      <c r="BK48" s="5">
        <v>83.738296085782764</v>
      </c>
      <c r="BL48" s="5">
        <v>85.721885198394673</v>
      </c>
      <c r="BM48" s="5">
        <v>87.283947898910668</v>
      </c>
      <c r="BN48" s="5">
        <v>88.187084966249287</v>
      </c>
      <c r="BO48" s="5">
        <v>86.623984379323488</v>
      </c>
      <c r="BP48" s="5">
        <v>88.983247893188135</v>
      </c>
      <c r="BQ48" s="5">
        <v>101.07174715516335</v>
      </c>
      <c r="BR48" s="5">
        <v>118.70533326447378</v>
      </c>
      <c r="BS48" s="5">
        <v>125.99493347081153</v>
      </c>
      <c r="BT48" s="5">
        <v>131.63925382193685</v>
      </c>
      <c r="BU48" s="5">
        <v>140.84874482880133</v>
      </c>
      <c r="BV48" s="5">
        <v>148.22026917476308</v>
      </c>
      <c r="BW48" s="5">
        <v>171.20124402389737</v>
      </c>
      <c r="BX48" s="5">
        <v>201.09421664414586</v>
      </c>
      <c r="BY48" s="5">
        <v>188.91217937069334</v>
      </c>
      <c r="BZ48" s="5">
        <v>179.43300947733135</v>
      </c>
      <c r="CA48" s="5">
        <v>190.55930456518988</v>
      </c>
    </row>
    <row r="49" spans="1:79" x14ac:dyDescent="0.2">
      <c r="A49" t="s">
        <v>87</v>
      </c>
      <c r="C49" t="s">
        <v>88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s="7">
        <v>156.26121085023036</v>
      </c>
      <c r="AI49" s="7">
        <v>145.935023447405</v>
      </c>
      <c r="AJ49" s="7">
        <v>159.47350466934884</v>
      </c>
      <c r="AK49" s="7">
        <v>138.24861753974841</v>
      </c>
      <c r="AL49" s="7">
        <v>138.80856003806963</v>
      </c>
      <c r="AM49" s="7">
        <v>131.33716505424712</v>
      </c>
      <c r="AN49" s="7">
        <v>119.18821373209258</v>
      </c>
      <c r="AO49" s="7">
        <v>113.83818301598751</v>
      </c>
      <c r="AP49" s="7">
        <v>120.41647745348391</v>
      </c>
      <c r="AQ49" s="7">
        <v>128.15334042140307</v>
      </c>
      <c r="AR49" s="7">
        <v>129.26699259178542</v>
      </c>
      <c r="AS49" s="7">
        <v>130.51875217632599</v>
      </c>
      <c r="AT49" s="7">
        <v>128.10174466470522</v>
      </c>
      <c r="AU49" s="5">
        <v>120.0612754893547</v>
      </c>
      <c r="AV49" s="5">
        <v>141.1610260267322</v>
      </c>
      <c r="AW49" s="5">
        <v>115.38363824006274</v>
      </c>
      <c r="AX49" s="5">
        <v>117.64374114118289</v>
      </c>
      <c r="AY49" s="5">
        <v>115.68089661615896</v>
      </c>
      <c r="AZ49" s="5">
        <v>115.12247567657194</v>
      </c>
      <c r="BA49" s="5">
        <v>122.00187190405309</v>
      </c>
      <c r="BB49" s="5">
        <v>131.65333996409564</v>
      </c>
      <c r="BC49" s="5">
        <v>120.39277756488853</v>
      </c>
      <c r="BD49" s="5">
        <v>132.97780093022587</v>
      </c>
      <c r="BE49" s="5">
        <v>133.36032202824185</v>
      </c>
      <c r="BF49" s="5">
        <v>144.92191990355226</v>
      </c>
      <c r="BG49" s="5">
        <v>145.52691964097178</v>
      </c>
      <c r="BH49" s="5">
        <v>165.23803101449266</v>
      </c>
      <c r="BI49" s="5">
        <v>191.55806459041588</v>
      </c>
      <c r="BJ49" s="5">
        <v>215.27842486893121</v>
      </c>
      <c r="BK49" s="5">
        <v>210.76391306406313</v>
      </c>
      <c r="BL49" s="5">
        <v>225.20503477597296</v>
      </c>
      <c r="BM49" s="5">
        <v>212.61313710313152</v>
      </c>
      <c r="BN49" s="5">
        <v>230.3826781068035</v>
      </c>
      <c r="BO49" s="5">
        <v>209.9742503949995</v>
      </c>
      <c r="BP49" s="5">
        <v>242.87581988192954</v>
      </c>
      <c r="BQ49" s="5">
        <v>249.0150442400317</v>
      </c>
      <c r="BR49" s="5">
        <v>266.40188549420446</v>
      </c>
      <c r="BS49" s="5">
        <v>375.86861186249303</v>
      </c>
      <c r="BT49" s="5">
        <v>368.06031570996328</v>
      </c>
      <c r="BU49" s="5">
        <v>437.22742686283493</v>
      </c>
      <c r="BV49" s="5">
        <v>419.7219399768411</v>
      </c>
      <c r="BW49" s="5">
        <v>389.38740669726764</v>
      </c>
      <c r="BX49" s="5">
        <v>513.4821537618144</v>
      </c>
      <c r="BY49" s="5">
        <v>458.5927100067866</v>
      </c>
      <c r="BZ49" s="5">
        <v>448.99370587719602</v>
      </c>
      <c r="CA49" s="5">
        <v>507.19517271721276</v>
      </c>
    </row>
    <row r="50" spans="1:79" x14ac:dyDescent="0.2">
      <c r="A50" t="s">
        <v>89</v>
      </c>
      <c r="C50" t="s">
        <v>0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t="s">
        <v>6</v>
      </c>
      <c r="AN50" s="5">
        <v>16.501406380308044</v>
      </c>
      <c r="AO50" s="5">
        <v>19.200935685984291</v>
      </c>
      <c r="AP50" s="5">
        <v>19.677551656835917</v>
      </c>
      <c r="AQ50" s="5">
        <v>19.931719264973466</v>
      </c>
      <c r="AR50" s="5">
        <v>22.08188146373076</v>
      </c>
      <c r="AS50" s="5">
        <v>22.872541333869361</v>
      </c>
      <c r="AT50" s="5">
        <v>24.805601446051067</v>
      </c>
      <c r="AU50" s="5">
        <v>28.797729963869731</v>
      </c>
      <c r="AV50" s="5">
        <v>18.151969615022988</v>
      </c>
      <c r="AW50" s="5">
        <v>15.980818743671003</v>
      </c>
      <c r="AX50" s="5">
        <v>14.713704145850034</v>
      </c>
      <c r="AY50" s="5">
        <v>14.122741520762768</v>
      </c>
      <c r="AZ50" s="5">
        <v>15.346375610286117</v>
      </c>
      <c r="BA50" s="5">
        <v>14.486214420672878</v>
      </c>
      <c r="BB50" s="5">
        <v>14.548279434016367</v>
      </c>
      <c r="BC50" s="5">
        <v>13.6323159255259</v>
      </c>
      <c r="BD50" s="5">
        <v>14.132482978196462</v>
      </c>
      <c r="BE50" s="5">
        <v>13.955432945290156</v>
      </c>
      <c r="BF50" s="5">
        <v>13.927311693847006</v>
      </c>
      <c r="BG50" s="5">
        <v>17.771860581637554</v>
      </c>
      <c r="BH50" s="5">
        <v>16.285147922567159</v>
      </c>
      <c r="BI50" s="5">
        <v>15.999511518160556</v>
      </c>
      <c r="BJ50" s="5">
        <v>19.482833391245713</v>
      </c>
      <c r="BK50" s="5">
        <v>14.715646577212331</v>
      </c>
      <c r="BL50" s="5">
        <v>12.499380099155298</v>
      </c>
      <c r="BM50" s="5">
        <v>9.3955234047658998</v>
      </c>
      <c r="BN50" s="5">
        <v>11.440940049631836</v>
      </c>
      <c r="BO50" s="5">
        <v>13.46667457345638</v>
      </c>
      <c r="BP50" s="5">
        <v>15.753720319406497</v>
      </c>
      <c r="BQ50" s="5">
        <v>36.880260880316463</v>
      </c>
      <c r="BR50" s="5">
        <v>21.682349794375209</v>
      </c>
      <c r="BS50" s="5">
        <v>26.540242231778699</v>
      </c>
      <c r="BT50" s="5">
        <v>26.819318349445748</v>
      </c>
      <c r="BU50" s="5">
        <v>25.495272068384359</v>
      </c>
      <c r="BV50" s="5">
        <v>25.469591114629957</v>
      </c>
      <c r="BW50" s="5">
        <v>27.538297797277178</v>
      </c>
      <c r="BX50" s="5">
        <v>46.644415639517234</v>
      </c>
      <c r="BY50" s="5">
        <v>24.567178980029713</v>
      </c>
      <c r="BZ50" s="5">
        <v>33.226261127596445</v>
      </c>
      <c r="CA50" s="5">
        <v>27.151795743329405</v>
      </c>
    </row>
    <row r="51" spans="1:79" x14ac:dyDescent="0.2">
      <c r="A51" t="s">
        <v>90</v>
      </c>
      <c r="C51" t="s">
        <v>91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s="5">
        <v>11.531796259442556</v>
      </c>
      <c r="O51" s="5">
        <v>9.8782572918892999</v>
      </c>
      <c r="P51" s="5">
        <v>9.3419759281639738</v>
      </c>
      <c r="Q51" s="5">
        <v>9.6949443913385949</v>
      </c>
      <c r="R51" s="5">
        <v>10.432663473076518</v>
      </c>
      <c r="S51" s="5">
        <v>10.166541127142397</v>
      </c>
      <c r="T51" s="5">
        <v>10.365462383352774</v>
      </c>
      <c r="U51" s="5">
        <v>10.072142515505163</v>
      </c>
      <c r="V51" s="5">
        <v>11.049536370784747</v>
      </c>
      <c r="W51" s="5">
        <v>11.632067619014759</v>
      </c>
      <c r="X51" s="5">
        <v>13.890454387749285</v>
      </c>
      <c r="Y51" s="5">
        <v>15.626462249360122</v>
      </c>
      <c r="Z51" s="5">
        <v>15.041283404287819</v>
      </c>
      <c r="AA51" s="5">
        <v>15.336379071680517</v>
      </c>
      <c r="AB51" s="5">
        <v>17.532318280031863</v>
      </c>
      <c r="AC51" s="5">
        <v>21.652684552697171</v>
      </c>
      <c r="AD51" s="5">
        <v>18.504142496091447</v>
      </c>
      <c r="AE51" s="5">
        <v>17.908472850090842</v>
      </c>
      <c r="AF51" s="5">
        <v>19.951301191357476</v>
      </c>
      <c r="AG51" s="5">
        <v>18.860916578460191</v>
      </c>
      <c r="AH51" s="5">
        <v>20.866563819209084</v>
      </c>
      <c r="AI51" s="5">
        <v>27.565786476417735</v>
      </c>
      <c r="AJ51" s="5">
        <v>24.473179389702597</v>
      </c>
      <c r="AK51" s="5">
        <v>18.449233966237426</v>
      </c>
      <c r="AL51" s="5">
        <v>12.067247819801993</v>
      </c>
      <c r="AM51" s="5">
        <v>9.3533119443226163</v>
      </c>
      <c r="AN51" s="5">
        <v>6.8017768187459406</v>
      </c>
      <c r="AO51" s="5">
        <v>13.673118228698012</v>
      </c>
      <c r="AP51" s="5">
        <v>6.5846293313778208</v>
      </c>
      <c r="AQ51" s="5">
        <v>9.2036617040429327</v>
      </c>
      <c r="AR51" s="5">
        <v>16.818431652143204</v>
      </c>
      <c r="AS51" s="5">
        <v>17.372127315942823</v>
      </c>
      <c r="AT51" s="5">
        <v>31.276146378408253</v>
      </c>
      <c r="AU51" s="5">
        <v>36.757978190412707</v>
      </c>
      <c r="AV51" s="5">
        <v>29.917029879544053</v>
      </c>
      <c r="AW51" s="5">
        <v>28.275005701903776</v>
      </c>
      <c r="AX51" s="5">
        <v>27.281847192438981</v>
      </c>
      <c r="AY51" s="5">
        <v>20.069930148074512</v>
      </c>
      <c r="AZ51" s="5">
        <v>9.5329068815030897</v>
      </c>
      <c r="BA51" s="5">
        <v>11.831872618955794</v>
      </c>
      <c r="BB51" s="5">
        <v>17.21473224304426</v>
      </c>
      <c r="BC51" s="5">
        <v>27.625603161972069</v>
      </c>
      <c r="BD51" s="5">
        <v>32.808370513067459</v>
      </c>
      <c r="BE51" s="5">
        <v>31.417099699333445</v>
      </c>
      <c r="BF51" s="5">
        <v>35.453558777451633</v>
      </c>
      <c r="BG51" s="5">
        <v>29.136308076632805</v>
      </c>
      <c r="BH51" s="5">
        <v>28.115493589357662</v>
      </c>
      <c r="BI51" s="7">
        <v>31.022125793828202</v>
      </c>
      <c r="BJ51" s="7">
        <v>27.733572172985728</v>
      </c>
      <c r="BK51" s="7">
        <v>20.816034150395762</v>
      </c>
      <c r="BL51" s="7">
        <v>24.562125409217263</v>
      </c>
      <c r="BM51" s="7">
        <v>25.555927937407283</v>
      </c>
      <c r="BN51" s="7">
        <v>26.594862225369031</v>
      </c>
      <c r="BO51" s="5">
        <v>29.110908573321801</v>
      </c>
      <c r="BP51" s="5">
        <v>29.29478509632164</v>
      </c>
      <c r="BQ51" s="5">
        <v>45.035052009686105</v>
      </c>
      <c r="BR51" s="5">
        <v>38.096619288842497</v>
      </c>
      <c r="BS51" s="5">
        <v>46.741492160852978</v>
      </c>
      <c r="BT51" s="5">
        <v>42.437325081384962</v>
      </c>
      <c r="BU51" s="5">
        <v>29.663755546495945</v>
      </c>
      <c r="BV51" s="5">
        <v>24.213796320661146</v>
      </c>
      <c r="BW51" s="5">
        <v>30.838613407257768</v>
      </c>
      <c r="BX51" s="5">
        <v>38.726238373264231</v>
      </c>
      <c r="BY51" s="5">
        <v>39.480853792865254</v>
      </c>
      <c r="BZ51" s="5">
        <v>37.826350383725625</v>
      </c>
      <c r="CA51" s="5">
        <v>27.487139239499552</v>
      </c>
    </row>
    <row r="52" spans="1:79" x14ac:dyDescent="0.2">
      <c r="A52" t="s">
        <v>92</v>
      </c>
      <c r="C52" t="s">
        <v>93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6</v>
      </c>
      <c r="BN52" t="s">
        <v>6</v>
      </c>
      <c r="BO52" t="s">
        <v>6</v>
      </c>
      <c r="BP52" t="s">
        <v>6</v>
      </c>
      <c r="BQ52" t="s">
        <v>6</v>
      </c>
      <c r="BR52" t="s">
        <v>6</v>
      </c>
      <c r="BS52" t="s">
        <v>6</v>
      </c>
      <c r="BT52" t="s">
        <v>6</v>
      </c>
      <c r="BU52" t="s">
        <v>6</v>
      </c>
      <c r="BV52" t="s">
        <v>6</v>
      </c>
      <c r="BW52" t="s">
        <v>6</v>
      </c>
      <c r="BX52" t="s">
        <v>6</v>
      </c>
      <c r="BY52" t="s">
        <v>6</v>
      </c>
      <c r="BZ52" t="s">
        <v>6</v>
      </c>
      <c r="CA52" t="s">
        <v>6</v>
      </c>
    </row>
    <row r="53" spans="1:79" x14ac:dyDescent="0.2">
      <c r="A53" t="s">
        <v>94</v>
      </c>
      <c r="C53" t="s">
        <v>5</v>
      </c>
      <c r="D53" t="s">
        <v>6</v>
      </c>
      <c r="E53" t="s">
        <v>6</v>
      </c>
      <c r="F53" s="7">
        <v>255.96257160395371</v>
      </c>
      <c r="G53" s="7">
        <v>270.51284449959405</v>
      </c>
      <c r="H53" s="7">
        <v>230.72633211221975</v>
      </c>
      <c r="I53" s="7">
        <v>216.74161040657938</v>
      </c>
      <c r="J53" s="7">
        <v>224.25700366425102</v>
      </c>
      <c r="K53" s="7">
        <v>252.16495954654076</v>
      </c>
      <c r="L53" s="7">
        <v>363.66102046568835</v>
      </c>
      <c r="M53" s="7">
        <v>273.25904464620561</v>
      </c>
      <c r="N53" s="7">
        <v>256.71986848448813</v>
      </c>
      <c r="O53" s="7">
        <v>292.90318882176138</v>
      </c>
      <c r="P53" s="7">
        <v>466.16686422427466</v>
      </c>
      <c r="Q53" s="7">
        <v>753.68638426294785</v>
      </c>
      <c r="R53" s="7">
        <v>754.92010275566736</v>
      </c>
      <c r="S53" s="7">
        <v>1058.0259595411178</v>
      </c>
      <c r="T53" s="7">
        <v>1083.4741984237448</v>
      </c>
      <c r="U53" s="7">
        <v>1173.5402798860903</v>
      </c>
      <c r="V53" s="7">
        <v>1303.3817141469444</v>
      </c>
      <c r="W53" s="7">
        <v>1369.1120245393522</v>
      </c>
      <c r="X53" s="7">
        <v>1412.1031512805566</v>
      </c>
      <c r="Y53" s="7">
        <v>1332.4824785618159</v>
      </c>
      <c r="Z53" s="7">
        <v>1467.3902590402013</v>
      </c>
      <c r="AA53" s="7">
        <v>1501.3021830717928</v>
      </c>
      <c r="AB53" s="7">
        <v>1891.1169896549616</v>
      </c>
      <c r="AC53" s="7">
        <v>2428.2746564729746</v>
      </c>
      <c r="AD53" s="7">
        <v>3050.4805021995971</v>
      </c>
      <c r="AE53" s="7">
        <v>3785.1106834902266</v>
      </c>
      <c r="AF53" s="7">
        <v>4210.2720609485532</v>
      </c>
      <c r="AG53" s="7">
        <v>3777.9021099073784</v>
      </c>
      <c r="AH53" s="7">
        <v>3374.0115309720786</v>
      </c>
      <c r="AI53" s="7">
        <v>3382.1084752743677</v>
      </c>
      <c r="AJ53" s="7">
        <v>3741.6919650827531</v>
      </c>
      <c r="AK53" s="7">
        <v>3680.0241449165396</v>
      </c>
      <c r="AL53" s="7">
        <v>3739.4834705142289</v>
      </c>
      <c r="AM53" s="7">
        <v>4029.0820190867485</v>
      </c>
      <c r="AN53" s="7">
        <v>4000.5485869082136</v>
      </c>
      <c r="AO53" s="7">
        <v>4078.0148357708254</v>
      </c>
      <c r="AP53" s="7">
        <v>4503.242126318446</v>
      </c>
      <c r="AQ53" s="7">
        <v>5285.7668040579974</v>
      </c>
      <c r="AR53" s="7">
        <v>5213.5331572464447</v>
      </c>
      <c r="AS53" s="5">
        <v>4695.3634665330301</v>
      </c>
      <c r="AT53" s="5">
        <v>3857.013546377646</v>
      </c>
      <c r="AU53" s="5">
        <v>3320.4240208321976</v>
      </c>
      <c r="AV53" s="5">
        <v>3068.5426481135733</v>
      </c>
      <c r="AW53" s="5">
        <v>3271.6895667705985</v>
      </c>
      <c r="AX53" s="5">
        <v>2910.5119160064405</v>
      </c>
      <c r="AY53" s="5">
        <v>2529.7388664571959</v>
      </c>
      <c r="AZ53" s="5">
        <v>2325.5377450347082</v>
      </c>
      <c r="BA53" s="5">
        <v>2060.5753588585731</v>
      </c>
      <c r="BB53" s="5">
        <v>1974.5940492143686</v>
      </c>
      <c r="BC53" s="5">
        <v>2317.5680722820525</v>
      </c>
      <c r="BD53" s="5">
        <v>2591.3293744363446</v>
      </c>
      <c r="BE53" s="5">
        <v>2839.4240770674696</v>
      </c>
      <c r="BF53" s="5">
        <v>2810.5555497253222</v>
      </c>
      <c r="BG53" s="5">
        <v>2909.494800165935</v>
      </c>
      <c r="BH53" s="5">
        <v>3230.1123136844658</v>
      </c>
      <c r="BI53" s="5">
        <v>3274.6163361161357</v>
      </c>
      <c r="BJ53" s="5">
        <v>3226.6851732820569</v>
      </c>
      <c r="BK53" s="5">
        <v>3203.496092975794</v>
      </c>
      <c r="BL53" s="5">
        <v>3350.862021625444</v>
      </c>
      <c r="BM53" s="5">
        <v>3242.3896974717977</v>
      </c>
      <c r="BN53" s="5">
        <v>3359.5503249684148</v>
      </c>
      <c r="BO53" s="5">
        <v>3511.1012648227652</v>
      </c>
      <c r="BP53" s="5">
        <v>3580.4407301922365</v>
      </c>
      <c r="BQ53" s="5">
        <v>3584.2530275071995</v>
      </c>
      <c r="BR53" s="5">
        <v>3612.8450492182742</v>
      </c>
      <c r="BS53" s="5">
        <v>3519.7864282490527</v>
      </c>
      <c r="BT53" s="5">
        <v>3469.2974002956112</v>
      </c>
      <c r="BU53" s="5">
        <v>3324.2975616637523</v>
      </c>
      <c r="BV53" s="5">
        <v>3302.5942673669506</v>
      </c>
      <c r="BW53" s="5">
        <v>3430.0039876957549</v>
      </c>
      <c r="BX53" s="5">
        <v>3089.2387786362583</v>
      </c>
      <c r="BY53" s="5">
        <v>3059.3072699596664</v>
      </c>
      <c r="BZ53" s="5">
        <v>2876.4660389134619</v>
      </c>
      <c r="CA53" s="5">
        <v>2694.1241311950471</v>
      </c>
    </row>
    <row r="54" spans="1:79" x14ac:dyDescent="0.2">
      <c r="A54" t="s">
        <v>95</v>
      </c>
      <c r="C54" t="s">
        <v>96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t="s">
        <v>6</v>
      </c>
      <c r="BI54" s="5">
        <v>2599.2094316721877</v>
      </c>
      <c r="BJ54" s="5">
        <v>2382.8854511109366</v>
      </c>
      <c r="BK54" s="5">
        <v>3294.9149289094007</v>
      </c>
      <c r="BL54" s="5">
        <v>2350.8573314682753</v>
      </c>
      <c r="BM54" s="5">
        <v>2484.7490801870877</v>
      </c>
      <c r="BN54" s="5">
        <v>3546.9396393451593</v>
      </c>
      <c r="BO54" s="5">
        <v>2258.1846995312417</v>
      </c>
      <c r="BP54" s="5">
        <v>2245.2233008039498</v>
      </c>
      <c r="BQ54" s="5">
        <v>2926.8267634140079</v>
      </c>
      <c r="BR54" s="5">
        <v>2350.5078569729262</v>
      </c>
      <c r="BS54" s="5">
        <v>685.88084104231143</v>
      </c>
      <c r="BT54" s="5">
        <v>295.64959063766565</v>
      </c>
      <c r="BU54" s="5">
        <v>415.26156385292802</v>
      </c>
      <c r="BV54" s="5">
        <v>255.34717965607828</v>
      </c>
      <c r="BW54" s="5">
        <v>136.1139131026932</v>
      </c>
      <c r="BX54" s="5">
        <v>203.70408010346088</v>
      </c>
      <c r="BY54" s="5">
        <v>532.84684867759665</v>
      </c>
      <c r="BZ54" s="5">
        <v>1076.1661292799017</v>
      </c>
      <c r="CA54" s="5">
        <v>919.05817810618828</v>
      </c>
    </row>
    <row r="55" spans="1:79" x14ac:dyDescent="0.2">
      <c r="A55" t="s">
        <v>97</v>
      </c>
      <c r="C55" t="s">
        <v>98</v>
      </c>
      <c r="D55" t="s">
        <v>6</v>
      </c>
      <c r="E55" t="s">
        <v>6</v>
      </c>
      <c r="F55" s="5">
        <v>194.64209110217294</v>
      </c>
      <c r="G55" s="5">
        <v>218.90129251222595</v>
      </c>
      <c r="H55" s="5">
        <v>250.20034714644629</v>
      </c>
      <c r="I55" s="5">
        <v>352.24309823739145</v>
      </c>
      <c r="J55" s="5">
        <v>320.20721017441866</v>
      </c>
      <c r="K55" s="5">
        <v>412.8292418443325</v>
      </c>
      <c r="L55" s="5">
        <v>596.13827725402427</v>
      </c>
      <c r="M55" s="5">
        <v>563.48783097857859</v>
      </c>
      <c r="N55" s="5">
        <v>653.42390577490369</v>
      </c>
      <c r="O55" s="5">
        <v>734.13894952771159</v>
      </c>
      <c r="P55" s="5">
        <v>741.46902162458673</v>
      </c>
      <c r="Q55" s="5">
        <v>883.58463849077759</v>
      </c>
      <c r="R55" s="5">
        <v>956.22287792670011</v>
      </c>
      <c r="S55" s="5">
        <v>1368.5572181614241</v>
      </c>
      <c r="T55" s="5">
        <v>1888.775885817917</v>
      </c>
      <c r="U55" s="5">
        <v>1657.372692447912</v>
      </c>
      <c r="V55" s="5">
        <v>1550.8909663415552</v>
      </c>
      <c r="W55" s="5">
        <v>1903.8290849091204</v>
      </c>
      <c r="X55" s="5">
        <v>2548.6415109035506</v>
      </c>
      <c r="Y55" s="5">
        <v>3048.3038075163663</v>
      </c>
      <c r="Z55" s="5">
        <v>3056.9651270520735</v>
      </c>
      <c r="AA55" s="5">
        <v>2642.8650222613865</v>
      </c>
      <c r="AB55" s="5">
        <v>2402.1247537830322</v>
      </c>
      <c r="AC55" s="5">
        <v>1875.0608085326364</v>
      </c>
      <c r="AD55" s="5">
        <v>1621.7529595983415</v>
      </c>
      <c r="AE55" s="5">
        <v>2392.5589908799407</v>
      </c>
      <c r="AF55" s="5">
        <v>2469.3367213079396</v>
      </c>
      <c r="AG55" s="5">
        <v>1823.8517049881414</v>
      </c>
      <c r="AH55" s="5">
        <v>2157.389792965414</v>
      </c>
      <c r="AI55" s="5">
        <v>2487.9095069121577</v>
      </c>
      <c r="AJ55" s="5">
        <v>2095.0798841026667</v>
      </c>
      <c r="AK55" s="5">
        <v>2290.6255335549959</v>
      </c>
      <c r="AL55" s="5">
        <v>3273.5692647984883</v>
      </c>
      <c r="AM55" s="5">
        <v>3751.6626364946401</v>
      </c>
      <c r="AN55" s="5">
        <v>2663.9023280292045</v>
      </c>
      <c r="AO55" s="5">
        <v>2269.6701152348564</v>
      </c>
      <c r="AP55" s="5">
        <v>2580.0534263680884</v>
      </c>
      <c r="AQ55" s="5">
        <v>2817.1654748242167</v>
      </c>
      <c r="AR55" t="s">
        <v>6</v>
      </c>
      <c r="AS55" s="5">
        <v>3262.6442218329421</v>
      </c>
      <c r="AT55" s="5">
        <v>2615.7016070282293</v>
      </c>
      <c r="AU55" s="5">
        <v>2264.6901832135991</v>
      </c>
      <c r="AV55" s="5">
        <v>2582.1532351117116</v>
      </c>
      <c r="AW55" s="5">
        <v>1910.4632363664691</v>
      </c>
      <c r="AX55" s="5">
        <v>1396.2221611592784</v>
      </c>
      <c r="AY55" s="5">
        <v>989.56378959802282</v>
      </c>
      <c r="AZ55" s="5">
        <v>778.57042502213756</v>
      </c>
      <c r="BA55" s="5">
        <v>2117.6461408587488</v>
      </c>
      <c r="BB55" s="5">
        <v>3756.724712640756</v>
      </c>
      <c r="BC55" s="5">
        <v>4880.6865005827294</v>
      </c>
      <c r="BD55" s="5">
        <v>3183.5603786972788</v>
      </c>
      <c r="BE55" s="5">
        <v>3310.3276900957571</v>
      </c>
      <c r="BF55" s="5">
        <v>2531.2168277664618</v>
      </c>
      <c r="BG55" s="5">
        <v>7109.2740526979032</v>
      </c>
      <c r="BH55" s="5">
        <v>5810.7810605265759</v>
      </c>
      <c r="BI55" s="5">
        <v>6834.5751458175355</v>
      </c>
      <c r="BJ55" s="5">
        <v>8144.3572490965907</v>
      </c>
      <c r="BK55" s="5">
        <v>9825.1624801608032</v>
      </c>
      <c r="BL55" s="5">
        <v>9580.9814563884665</v>
      </c>
      <c r="BM55" t="s">
        <v>6</v>
      </c>
      <c r="BN55" t="s">
        <v>6</v>
      </c>
      <c r="BO55" t="s">
        <v>6</v>
      </c>
      <c r="BP55" t="s">
        <v>6</v>
      </c>
      <c r="BQ55" t="s">
        <v>6</v>
      </c>
      <c r="BR55" s="5">
        <v>4549.4118511995011</v>
      </c>
      <c r="BS55" s="5">
        <v>4767.5672548853936</v>
      </c>
      <c r="BT55" s="5">
        <v>6188.8268620654617</v>
      </c>
      <c r="BU55" s="5">
        <v>3152.9577601515612</v>
      </c>
      <c r="BV55" s="5">
        <v>2851.7841043641292</v>
      </c>
      <c r="BW55" s="5">
        <v>1655.8712295650932</v>
      </c>
      <c r="BX55" s="5">
        <v>976.87812185757082</v>
      </c>
      <c r="BY55" t="s">
        <v>6</v>
      </c>
      <c r="BZ55" t="s">
        <v>6</v>
      </c>
      <c r="CA55" t="s">
        <v>6</v>
      </c>
    </row>
    <row r="56" spans="1:79" x14ac:dyDescent="0.2">
      <c r="A56" t="s">
        <v>99</v>
      </c>
      <c r="C56" t="s">
        <v>100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s="7">
        <v>14.036776686956117</v>
      </c>
      <c r="AG56" s="7">
        <v>19.819846025883777</v>
      </c>
      <c r="AH56" s="7">
        <v>20.313298530921518</v>
      </c>
      <c r="AI56" s="7">
        <v>20.42466338667538</v>
      </c>
      <c r="AJ56" s="7">
        <v>18.043699473312437</v>
      </c>
      <c r="AK56" s="7">
        <v>18.047336968782659</v>
      </c>
      <c r="AL56" s="7">
        <v>17.588578513676218</v>
      </c>
      <c r="AM56" s="7">
        <v>16.02008833309355</v>
      </c>
      <c r="AN56" s="7">
        <v>14.608915555387146</v>
      </c>
      <c r="AO56" s="7">
        <v>14.583162738576632</v>
      </c>
      <c r="AP56" s="7">
        <v>13.035099641441924</v>
      </c>
      <c r="AQ56" s="7">
        <v>12.626167197521081</v>
      </c>
      <c r="AR56" s="7">
        <v>13.561212913822805</v>
      </c>
      <c r="AS56" s="7">
        <v>19.269849570965466</v>
      </c>
      <c r="AT56" s="7">
        <v>21.246542261426605</v>
      </c>
      <c r="AU56" s="7">
        <v>26.736484646430114</v>
      </c>
      <c r="AV56" s="7">
        <v>30.928205955985931</v>
      </c>
      <c r="AW56" s="7">
        <v>32.129350595575644</v>
      </c>
      <c r="AX56" s="7">
        <v>32.587014460724426</v>
      </c>
      <c r="AY56" s="5">
        <v>33.414577994759242</v>
      </c>
      <c r="AZ56" s="5">
        <v>32.390419930677105</v>
      </c>
      <c r="BA56" s="5">
        <v>36.04142675689787</v>
      </c>
      <c r="BB56" s="5">
        <v>37.72241988242429</v>
      </c>
      <c r="BC56" s="5">
        <v>36.14561698491795</v>
      </c>
      <c r="BD56" s="5">
        <v>34.01279797747938</v>
      </c>
      <c r="BE56" s="5">
        <v>34.667521234755007</v>
      </c>
      <c r="BF56" s="5">
        <v>40.37325657076709</v>
      </c>
      <c r="BG56" s="5">
        <v>44.56716842647198</v>
      </c>
      <c r="BH56" s="5">
        <v>58.329568475228292</v>
      </c>
      <c r="BI56" s="5">
        <v>58.038530534541337</v>
      </c>
      <c r="BJ56" s="5">
        <v>59.078137880662403</v>
      </c>
      <c r="BK56" s="7">
        <v>66.240792626765526</v>
      </c>
      <c r="BL56" s="5">
        <v>72.012961603500372</v>
      </c>
      <c r="BM56" s="7">
        <v>80.019678525007038</v>
      </c>
      <c r="BN56" s="7">
        <v>78.164873695011607</v>
      </c>
      <c r="BO56" s="5">
        <v>68.961220553936229</v>
      </c>
      <c r="BP56" s="5">
        <v>72.887020887071486</v>
      </c>
      <c r="BQ56" s="5">
        <v>73.302432306993964</v>
      </c>
      <c r="BR56" s="7">
        <v>74.211832008096096</v>
      </c>
      <c r="BS56" s="5">
        <v>86.959184015830772</v>
      </c>
      <c r="BT56" s="5">
        <v>80.166141546961768</v>
      </c>
      <c r="BU56" s="5">
        <v>83.653609553759267</v>
      </c>
      <c r="BV56" s="5">
        <v>80.285883806726005</v>
      </c>
      <c r="BW56" s="5">
        <v>78.180997226895727</v>
      </c>
      <c r="BX56" s="5">
        <v>72.919781906060237</v>
      </c>
      <c r="BY56" s="5">
        <v>77.43232972791661</v>
      </c>
      <c r="BZ56" s="5">
        <v>70.513370260132007</v>
      </c>
      <c r="CA56" s="5">
        <v>75.51262332361766</v>
      </c>
    </row>
    <row r="57" spans="1:79" x14ac:dyDescent="0.2">
      <c r="A57" t="s">
        <v>101</v>
      </c>
      <c r="C57" t="s">
        <v>5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s="7">
        <v>77.899058275130997</v>
      </c>
      <c r="W57" s="7">
        <v>74.803118969225466</v>
      </c>
      <c r="X57" s="7">
        <v>79.488154720081013</v>
      </c>
      <c r="Y57" s="7">
        <v>112.93336169980078</v>
      </c>
      <c r="Z57" s="7">
        <v>155.29431323911831</v>
      </c>
      <c r="AA57" s="7">
        <v>182.0089227337335</v>
      </c>
      <c r="AB57" s="7">
        <v>235.15693147222026</v>
      </c>
      <c r="AC57" s="7">
        <v>307.87357332943003</v>
      </c>
      <c r="AD57" s="7">
        <v>290.56900589312755</v>
      </c>
      <c r="AE57" s="7">
        <v>305.54070249701778</v>
      </c>
      <c r="AF57" s="7">
        <v>378.01854802572927</v>
      </c>
      <c r="AG57" s="7">
        <v>729.58681750778192</v>
      </c>
      <c r="AH57" s="7">
        <v>612.77659628553761</v>
      </c>
      <c r="AI57" s="7">
        <v>290.47646456171674</v>
      </c>
      <c r="AJ57" s="7">
        <v>332.92693950493833</v>
      </c>
      <c r="AK57" s="7">
        <v>320.6069934668119</v>
      </c>
      <c r="AL57" s="7">
        <v>274.97870408852202</v>
      </c>
      <c r="AM57" s="7">
        <v>243.94707530257114</v>
      </c>
      <c r="AN57" s="7">
        <v>246.91343787759476</v>
      </c>
      <c r="AO57" s="7">
        <v>262.92040290502769</v>
      </c>
      <c r="AP57" s="7">
        <v>246.48403762352609</v>
      </c>
      <c r="AQ57" s="7">
        <v>224.25262349049584</v>
      </c>
      <c r="AR57" s="7">
        <v>217.07742410130629</v>
      </c>
      <c r="AS57" s="7">
        <v>179.92956466163704</v>
      </c>
      <c r="AT57" s="7">
        <v>194.91131630180644</v>
      </c>
      <c r="AU57" s="7">
        <v>194.72441079907713</v>
      </c>
      <c r="AV57" s="7">
        <v>128.2270682128202</v>
      </c>
      <c r="AW57" s="7">
        <v>119.54039585344549</v>
      </c>
      <c r="AX57" s="7">
        <v>154.98404567341595</v>
      </c>
      <c r="AY57" s="7">
        <v>152.74160315212666</v>
      </c>
      <c r="AZ57" s="7">
        <v>163.00431008639811</v>
      </c>
      <c r="BA57" s="7">
        <v>177.64890681976354</v>
      </c>
      <c r="BB57" s="7">
        <v>176.5563389746996</v>
      </c>
      <c r="BC57" s="7">
        <v>188.27942264466958</v>
      </c>
      <c r="BD57" s="7">
        <v>218.81705183279695</v>
      </c>
      <c r="BE57" s="7">
        <v>213.98088215725568</v>
      </c>
      <c r="BF57" s="5">
        <v>194.26764324238707</v>
      </c>
      <c r="BG57" s="5">
        <v>198.17046656225816</v>
      </c>
      <c r="BH57" s="5">
        <v>213.80959711378151</v>
      </c>
      <c r="BI57" s="5">
        <v>233.62785361093964</v>
      </c>
      <c r="BJ57" s="5">
        <v>244.77795408019182</v>
      </c>
      <c r="BK57" s="5">
        <v>248.92760886869416</v>
      </c>
      <c r="BL57" s="5">
        <v>277.15480502263654</v>
      </c>
      <c r="BM57" s="5">
        <v>358.83200187055354</v>
      </c>
      <c r="BN57" s="5">
        <v>386.31142238697714</v>
      </c>
      <c r="BO57" s="5">
        <v>392.32893602545272</v>
      </c>
      <c r="BP57" s="5">
        <v>453.20349213402665</v>
      </c>
      <c r="BQ57" s="5">
        <v>504.91983206011969</v>
      </c>
      <c r="BR57" s="5">
        <v>586.85186116419436</v>
      </c>
      <c r="BS57" s="5">
        <v>642.21365980288283</v>
      </c>
      <c r="BT57" s="5">
        <v>645.05134894473986</v>
      </c>
      <c r="BU57" s="5">
        <v>678.65340440630359</v>
      </c>
      <c r="BV57" s="5">
        <v>685.98540020409973</v>
      </c>
      <c r="BW57" s="5">
        <v>728.48462374225153</v>
      </c>
      <c r="BX57" s="5">
        <v>786.38132405442536</v>
      </c>
      <c r="BY57" s="5">
        <v>874.9321918442015</v>
      </c>
      <c r="BZ57" s="5">
        <v>946.2498757414096</v>
      </c>
      <c r="CA57" s="5">
        <v>966.20963830143978</v>
      </c>
    </row>
    <row r="58" spans="1:79" x14ac:dyDescent="0.2">
      <c r="A58" t="s">
        <v>102</v>
      </c>
      <c r="C58" t="s">
        <v>5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s="5">
        <v>6.7584512573157811</v>
      </c>
      <c r="S58" s="5">
        <v>19.946881040105517</v>
      </c>
      <c r="T58" s="5">
        <v>19.58527710950132</v>
      </c>
      <c r="U58" s="5">
        <v>16.668184638223099</v>
      </c>
      <c r="V58" s="5">
        <v>18.361651880611774</v>
      </c>
      <c r="W58" s="5">
        <v>19.505455331976204</v>
      </c>
      <c r="X58" s="5">
        <v>20.184293592798689</v>
      </c>
      <c r="Y58" s="5">
        <v>21.828128498800236</v>
      </c>
      <c r="Z58" s="5">
        <v>23.402464610247037</v>
      </c>
      <c r="AA58" s="5">
        <v>24.363949017211809</v>
      </c>
      <c r="AB58" s="5">
        <v>27.88168374028248</v>
      </c>
      <c r="AC58" s="5">
        <v>31.43703583491725</v>
      </c>
      <c r="AD58" s="5">
        <v>32.55703549456323</v>
      </c>
      <c r="AE58" s="5">
        <v>41.637691572444453</v>
      </c>
      <c r="AF58" s="5">
        <v>51.847568101556242</v>
      </c>
      <c r="AG58" s="5">
        <v>51.061598361841916</v>
      </c>
      <c r="AH58" s="5">
        <v>44.297855231773397</v>
      </c>
      <c r="AI58" s="5">
        <v>43.119282587165493</v>
      </c>
      <c r="AJ58" s="5">
        <v>42.137840769136282</v>
      </c>
      <c r="AK58" s="5">
        <v>37.74429353745996</v>
      </c>
      <c r="AL58" s="5">
        <v>35.398897085297079</v>
      </c>
      <c r="AM58" s="5">
        <v>40.263030066834787</v>
      </c>
      <c r="AN58" s="5">
        <v>50.725037437150789</v>
      </c>
      <c r="AO58" s="5">
        <v>59.691423495141279</v>
      </c>
      <c r="AP58" s="5">
        <v>74.893973471879704</v>
      </c>
      <c r="AQ58" s="5">
        <v>73.782730368637118</v>
      </c>
      <c r="AR58" s="5">
        <v>77.422003024210284</v>
      </c>
      <c r="AS58" s="5">
        <v>79.301201182188137</v>
      </c>
      <c r="AT58" s="5">
        <v>74.038541302620189</v>
      </c>
      <c r="AU58" s="5">
        <v>73.302716395417136</v>
      </c>
      <c r="AV58" s="5">
        <v>80.883483944642265</v>
      </c>
      <c r="AW58" s="5">
        <v>57.712239155623799</v>
      </c>
      <c r="AX58" s="5">
        <v>54.13665322964416</v>
      </c>
      <c r="AY58" t="s">
        <v>6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t="s">
        <v>6</v>
      </c>
      <c r="BF58" s="5">
        <v>47.654644726618486</v>
      </c>
      <c r="BG58" s="5">
        <v>47.468907744909679</v>
      </c>
      <c r="BH58" s="5">
        <v>46.509599761730556</v>
      </c>
      <c r="BI58" t="s">
        <v>6</v>
      </c>
      <c r="BJ58" t="s">
        <v>6</v>
      </c>
      <c r="BK58" s="5">
        <v>60.377390106619174</v>
      </c>
      <c r="BL58" s="5">
        <v>59.362520736691309</v>
      </c>
      <c r="BM58" s="5">
        <v>63.272886626270918</v>
      </c>
      <c r="BN58" s="5">
        <v>60.446746462613788</v>
      </c>
      <c r="BO58" s="5">
        <v>67.982362519048777</v>
      </c>
      <c r="BP58" s="5">
        <v>74.34855277861503</v>
      </c>
      <c r="BQ58" s="5">
        <v>85.195456614251938</v>
      </c>
      <c r="BR58" s="5">
        <v>83.680352682734551</v>
      </c>
      <c r="BS58" s="5">
        <v>97.113632620743289</v>
      </c>
      <c r="BT58" s="5">
        <v>104.65875887898423</v>
      </c>
      <c r="BU58" s="5">
        <v>115.86706313564235</v>
      </c>
      <c r="BV58" s="5">
        <v>198.29558229182337</v>
      </c>
      <c r="BW58" s="5">
        <v>184.03775309090111</v>
      </c>
      <c r="BX58" s="5">
        <v>206.43657671853845</v>
      </c>
      <c r="BY58" s="5">
        <v>364.09030051122164</v>
      </c>
      <c r="BZ58" s="5">
        <v>276.34907667881072</v>
      </c>
      <c r="CA58" s="5">
        <v>189.89893179018398</v>
      </c>
    </row>
    <row r="59" spans="1:79" x14ac:dyDescent="0.2">
      <c r="A59" t="s">
        <v>103</v>
      </c>
      <c r="C59" t="s">
        <v>5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s="5">
        <v>2.2271698029687577</v>
      </c>
      <c r="Q59" s="5">
        <v>13.453073568867785</v>
      </c>
      <c r="R59" s="5">
        <v>48.746584064921656</v>
      </c>
      <c r="S59" s="5">
        <v>88.984571318804726</v>
      </c>
      <c r="T59" s="5">
        <v>155.07548632534983</v>
      </c>
      <c r="U59" s="5">
        <v>208.17240473373766</v>
      </c>
      <c r="V59" s="5">
        <v>237.5722886445478</v>
      </c>
      <c r="W59" s="5">
        <v>291.01235578332614</v>
      </c>
      <c r="X59" s="5">
        <v>298.60846327126529</v>
      </c>
      <c r="Y59" s="5">
        <v>316.50309236155312</v>
      </c>
      <c r="Z59" s="5">
        <v>541.17066671673001</v>
      </c>
      <c r="AA59" s="5">
        <v>687.0679814120266</v>
      </c>
      <c r="AB59" s="5">
        <v>541.80792912804066</v>
      </c>
      <c r="AC59" s="5">
        <v>407.21225462540849</v>
      </c>
      <c r="AD59" s="5">
        <v>380.59249909663549</v>
      </c>
      <c r="AE59" s="5">
        <v>337.59429749901324</v>
      </c>
      <c r="AF59" s="5">
        <v>233.59807818785052</v>
      </c>
      <c r="AG59" s="5">
        <v>184.37051954487845</v>
      </c>
      <c r="AH59" s="5">
        <v>140.75352341100745</v>
      </c>
      <c r="AI59" s="5">
        <v>191.09298835523782</v>
      </c>
      <c r="AJ59" s="5">
        <v>168.36986106039708</v>
      </c>
      <c r="AK59" s="5">
        <v>127.96497622617775</v>
      </c>
      <c r="AL59" s="5">
        <v>89.709338453397905</v>
      </c>
      <c r="AM59" s="5">
        <v>144.72327109397696</v>
      </c>
      <c r="AN59" s="5">
        <v>187.80148793208593</v>
      </c>
      <c r="AO59" s="5">
        <v>200.92307637698272</v>
      </c>
      <c r="AP59" s="5">
        <v>194.72197981872236</v>
      </c>
      <c r="AQ59" s="5">
        <v>194.57194688413406</v>
      </c>
      <c r="AR59" s="5">
        <v>175.85235563050992</v>
      </c>
      <c r="AS59" s="5">
        <v>177.92253055839447</v>
      </c>
      <c r="AT59" s="5">
        <v>173.2764240932988</v>
      </c>
      <c r="AU59" s="5">
        <v>114.4911094185682</v>
      </c>
      <c r="AV59" s="5">
        <v>117.01943274527409</v>
      </c>
      <c r="AW59" s="5">
        <v>144.89843280019326</v>
      </c>
      <c r="AX59" s="5">
        <v>164.08234436845669</v>
      </c>
      <c r="AY59" s="5">
        <v>176.18322951342185</v>
      </c>
      <c r="AZ59" s="5">
        <v>173.88668704544264</v>
      </c>
      <c r="BA59" s="5">
        <v>220.52395478258407</v>
      </c>
      <c r="BB59" s="5">
        <v>252.427616577848</v>
      </c>
      <c r="BC59" s="5">
        <v>244.1744988544738</v>
      </c>
      <c r="BD59" s="5">
        <v>246.59042239979553</v>
      </c>
      <c r="BE59" s="5">
        <v>264.42350530959686</v>
      </c>
      <c r="BF59" s="5">
        <v>284.83996995236492</v>
      </c>
      <c r="BG59" s="5">
        <v>325.66229019379352</v>
      </c>
      <c r="BH59" s="5">
        <v>326.49577143929235</v>
      </c>
      <c r="BI59" s="5">
        <v>315.62566806164835</v>
      </c>
      <c r="BJ59" s="5">
        <v>322.84949663727883</v>
      </c>
      <c r="BK59" s="5">
        <v>355.76578546811299</v>
      </c>
      <c r="BL59" s="5">
        <v>349.68363840058237</v>
      </c>
      <c r="BM59" s="5">
        <v>747.91689424503295</v>
      </c>
      <c r="BN59" s="5">
        <v>741.45326901654039</v>
      </c>
      <c r="BO59" s="5">
        <v>378.57820529775421</v>
      </c>
      <c r="BP59" s="5">
        <v>317.90157081247554</v>
      </c>
      <c r="BQ59" s="5">
        <v>336.38314271624586</v>
      </c>
      <c r="BR59" s="5">
        <v>373.30036457355322</v>
      </c>
      <c r="BS59" s="5">
        <v>387.57270122681098</v>
      </c>
      <c r="BT59" s="5">
        <v>423.54999697131308</v>
      </c>
      <c r="BU59" s="5">
        <v>501.91029004178978</v>
      </c>
      <c r="BV59" s="5">
        <v>769.09228015562928</v>
      </c>
      <c r="BW59" s="5">
        <v>1135.4293300337808</v>
      </c>
      <c r="BX59" s="5">
        <v>1155.1042896806177</v>
      </c>
      <c r="BY59" s="5">
        <v>966.10119448114017</v>
      </c>
      <c r="BZ59" s="5">
        <v>976.66098624334074</v>
      </c>
      <c r="CA59" s="5">
        <v>1089.7360968131607</v>
      </c>
    </row>
    <row r="60" spans="1:79" x14ac:dyDescent="0.2">
      <c r="A60" t="s">
        <v>104</v>
      </c>
      <c r="C60" t="s">
        <v>2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s="5">
        <v>285.14773540662242</v>
      </c>
      <c r="AN60" s="5">
        <v>229.82421432152069</v>
      </c>
      <c r="AO60" s="5">
        <v>423.91148734552388</v>
      </c>
      <c r="AP60" s="5">
        <v>382.57483702706304</v>
      </c>
      <c r="AQ60" s="5">
        <v>285.17250953559159</v>
      </c>
      <c r="AR60" s="5">
        <v>412.14261438806636</v>
      </c>
      <c r="AS60" s="5">
        <v>362.90215959417509</v>
      </c>
      <c r="AT60" s="5">
        <v>242.57254594027432</v>
      </c>
      <c r="AU60" s="5">
        <v>275.68093878163955</v>
      </c>
      <c r="AV60" s="5">
        <v>133.80172149178179</v>
      </c>
      <c r="AW60" s="5">
        <v>157.33430788270053</v>
      </c>
      <c r="AX60" s="5">
        <v>132.32360395016488</v>
      </c>
      <c r="AY60" s="5">
        <v>88.508830454656561</v>
      </c>
      <c r="AZ60" s="5">
        <v>88.723878252238478</v>
      </c>
      <c r="BA60" t="s">
        <v>6</v>
      </c>
      <c r="BB60" s="5">
        <v>132.18097090300338</v>
      </c>
      <c r="BC60" t="s">
        <v>6</v>
      </c>
      <c r="BD60" t="s">
        <v>6</v>
      </c>
      <c r="BE60" t="s">
        <v>6</v>
      </c>
      <c r="BF60" t="s">
        <v>6</v>
      </c>
      <c r="BG60" s="5">
        <v>173.10624284905893</v>
      </c>
      <c r="BH60" s="5">
        <v>193.82923493782468</v>
      </c>
      <c r="BI60" s="5">
        <v>211.76989450757659</v>
      </c>
      <c r="BJ60" s="5">
        <v>239.88246789654502</v>
      </c>
      <c r="BK60" s="5">
        <v>238.98605765536448</v>
      </c>
      <c r="BL60" s="5">
        <v>225.62814749282339</v>
      </c>
      <c r="BM60" s="5">
        <v>250.67625802037864</v>
      </c>
      <c r="BN60" s="5">
        <v>263.29008330406475</v>
      </c>
      <c r="BO60" s="5">
        <v>293.08294858512113</v>
      </c>
      <c r="BP60" s="5">
        <v>316.26411109325107</v>
      </c>
      <c r="BQ60" s="5">
        <v>389.12707204748097</v>
      </c>
      <c r="BR60" s="5">
        <v>416.28118222007316</v>
      </c>
      <c r="BS60" s="5">
        <v>339.28583848436296</v>
      </c>
      <c r="BT60" s="5">
        <v>330.296896668084</v>
      </c>
      <c r="BU60" s="5">
        <v>379.27513487673639</v>
      </c>
      <c r="BV60" s="5">
        <v>331.41028516646031</v>
      </c>
      <c r="BW60" s="5">
        <v>294.39556666065653</v>
      </c>
      <c r="BX60" s="5">
        <v>270.26655726371871</v>
      </c>
      <c r="BY60" s="5">
        <v>309.2150349012295</v>
      </c>
      <c r="BZ60" s="5">
        <v>377.17205616262498</v>
      </c>
      <c r="CA60" s="5">
        <v>402.89724283259852</v>
      </c>
    </row>
    <row r="61" spans="1:79" x14ac:dyDescent="0.2">
      <c r="A61" t="s">
        <v>105</v>
      </c>
      <c r="C61" t="s">
        <v>106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6</v>
      </c>
      <c r="AH61" t="s">
        <v>6</v>
      </c>
      <c r="AI61" s="5">
        <v>504.49920843885963</v>
      </c>
      <c r="AJ61" s="5">
        <v>420.67454508918411</v>
      </c>
      <c r="AK61" s="5">
        <v>469.45113051902348</v>
      </c>
      <c r="AL61" s="5">
        <v>506.11051206119942</v>
      </c>
      <c r="AM61" s="5">
        <v>430.76475042394645</v>
      </c>
      <c r="AN61" s="5">
        <v>439.85172133159301</v>
      </c>
      <c r="AO61" s="5">
        <v>439.7380412406402</v>
      </c>
      <c r="AP61" s="5">
        <v>447.31581218663928</v>
      </c>
      <c r="AQ61" s="5">
        <v>468.73448843564938</v>
      </c>
      <c r="AR61" s="5">
        <v>489.34360949418817</v>
      </c>
      <c r="AS61" s="5">
        <v>491.94978735660186</v>
      </c>
      <c r="AT61" s="5">
        <v>511.63068678368131</v>
      </c>
      <c r="AU61" s="5">
        <v>415.65691447847377</v>
      </c>
      <c r="AV61" s="5">
        <v>349.05184398880556</v>
      </c>
      <c r="AW61" s="5">
        <v>356.23334613731174</v>
      </c>
      <c r="AX61" s="5">
        <v>327.86552129261133</v>
      </c>
      <c r="AY61" s="5">
        <v>343.11310813753306</v>
      </c>
      <c r="AZ61" s="5">
        <v>369.92061722393089</v>
      </c>
      <c r="BA61" t="s">
        <v>6</v>
      </c>
      <c r="BB61" s="5">
        <v>502.17137869911568</v>
      </c>
      <c r="BC61" s="5">
        <v>631.93617681163289</v>
      </c>
      <c r="BD61" s="5">
        <v>833.05743582335651</v>
      </c>
      <c r="BE61" s="5">
        <v>3000.7411126756874</v>
      </c>
      <c r="BF61" s="5">
        <v>944.30853416158368</v>
      </c>
      <c r="BG61" s="5">
        <v>581.29403145398794</v>
      </c>
      <c r="BH61" s="5">
        <v>435.54707562195671</v>
      </c>
      <c r="BI61" s="6">
        <v>403.06782955800003</v>
      </c>
      <c r="BJ61" t="s">
        <v>6</v>
      </c>
      <c r="BK61" t="s">
        <v>6</v>
      </c>
      <c r="BL61" t="s">
        <v>6</v>
      </c>
      <c r="BM61" s="5">
        <v>319.45451158805673</v>
      </c>
      <c r="BN61" s="5">
        <v>623.2924426023867</v>
      </c>
      <c r="BO61" s="5">
        <v>963.83889282913776</v>
      </c>
      <c r="BP61" s="5">
        <v>1062.8734592317069</v>
      </c>
      <c r="BQ61" s="5">
        <v>1099.17578904524</v>
      </c>
      <c r="BR61" s="5">
        <v>1152.5685345228824</v>
      </c>
      <c r="BS61" s="5">
        <v>1113.0505901682589</v>
      </c>
      <c r="BT61" s="5">
        <v>1048.9050842076331</v>
      </c>
      <c r="BU61" s="5">
        <v>1170.6648681077852</v>
      </c>
      <c r="BV61" s="6">
        <v>1071.774927767226</v>
      </c>
      <c r="BW61" s="6">
        <v>1415.3182918440696</v>
      </c>
      <c r="BX61" s="6">
        <v>2590.767394807538</v>
      </c>
      <c r="BY61" s="6">
        <v>2302.4622015986747</v>
      </c>
      <c r="BZ61" s="6">
        <v>870.43353788687284</v>
      </c>
      <c r="CA61" s="6">
        <v>1319.9067815833369</v>
      </c>
    </row>
    <row r="62" spans="1:79" ht="18" x14ac:dyDescent="0.2">
      <c r="A62" s="2" t="s">
        <v>10</v>
      </c>
    </row>
    <row r="63" spans="1:79" x14ac:dyDescent="0.2">
      <c r="A63" s="4" t="s">
        <v>12</v>
      </c>
    </row>
    <row r="64" spans="1:79" x14ac:dyDescent="0.2">
      <c r="A64" t="s">
        <v>107</v>
      </c>
      <c r="C64" t="s">
        <v>5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t="s">
        <v>6</v>
      </c>
      <c r="AG64" s="5">
        <v>2.4620938605576375</v>
      </c>
      <c r="AH64" s="5">
        <v>3.6203992546815593</v>
      </c>
      <c r="AI64" s="5">
        <v>4.7064668964033221</v>
      </c>
      <c r="AJ64" s="5">
        <v>5.2308865963810298</v>
      </c>
      <c r="AK64" s="5">
        <v>6.0678103737379452</v>
      </c>
      <c r="AL64" s="5">
        <v>6.5031841268936246</v>
      </c>
      <c r="AM64" s="5">
        <v>7.0634659063417233</v>
      </c>
      <c r="AN64" s="5">
        <v>6.662809264660476</v>
      </c>
      <c r="AO64" t="s">
        <v>6</v>
      </c>
      <c r="AP64" t="s">
        <v>6</v>
      </c>
      <c r="AQ64" t="s">
        <v>6</v>
      </c>
      <c r="AR64" s="5">
        <v>8.2108788301352362</v>
      </c>
      <c r="AS64" s="5">
        <v>8.723332334255181</v>
      </c>
      <c r="AT64" s="5">
        <v>8.592238574546915</v>
      </c>
      <c r="AU64" s="5">
        <v>9.3826479820636468</v>
      </c>
      <c r="AV64" s="5">
        <v>10.71108819609997</v>
      </c>
      <c r="AW64" s="5">
        <v>13.456177621558517</v>
      </c>
      <c r="AX64" s="5">
        <v>13.33240175585612</v>
      </c>
      <c r="AY64" s="5">
        <v>12.44595977583533</v>
      </c>
      <c r="AZ64" s="5">
        <v>14.512089076598356</v>
      </c>
      <c r="BA64" t="s">
        <v>6</v>
      </c>
      <c r="BB64" t="s">
        <v>6</v>
      </c>
      <c r="BC64" s="5">
        <v>10.169194476474248</v>
      </c>
      <c r="BD64" s="5">
        <v>10.277694955596184</v>
      </c>
      <c r="BE64" s="5">
        <v>10.355963699424093</v>
      </c>
      <c r="BF64" s="5">
        <v>11.055005131446858</v>
      </c>
      <c r="BG64" s="5">
        <v>11.525265048039776</v>
      </c>
      <c r="BH64" s="5">
        <v>13.158672251283178</v>
      </c>
      <c r="BI64" s="5">
        <v>16.245684013407551</v>
      </c>
      <c r="BJ64" s="5">
        <v>17.785622423468695</v>
      </c>
      <c r="BK64" s="5">
        <v>22.741247585067903</v>
      </c>
      <c r="BL64" s="5">
        <v>21.213580623699027</v>
      </c>
      <c r="BM64" s="5">
        <v>18.670782943398702</v>
      </c>
      <c r="BN64" s="5">
        <v>18.471037111711368</v>
      </c>
      <c r="BO64" s="5">
        <v>18.000736943157285</v>
      </c>
      <c r="BP64" s="5">
        <v>20.92168671623396</v>
      </c>
      <c r="BQ64" s="5">
        <v>23.15938896753439</v>
      </c>
      <c r="BR64" s="5">
        <v>23.1269587788743</v>
      </c>
      <c r="BS64" s="5">
        <v>25.29937506568394</v>
      </c>
      <c r="BT64" s="5">
        <v>26.559471039807249</v>
      </c>
      <c r="BU64" s="5">
        <v>26.815626144454352</v>
      </c>
      <c r="BV64" s="5">
        <v>28.00834648306898</v>
      </c>
      <c r="BW64" s="5">
        <v>29.807316880754126</v>
      </c>
      <c r="BX64" s="5">
        <v>29.62533278117391</v>
      </c>
      <c r="BY64" s="5">
        <v>29.02563420681469</v>
      </c>
      <c r="BZ64" s="5">
        <v>30.566587499999997</v>
      </c>
      <c r="CA64" s="5">
        <v>29.171552645410983</v>
      </c>
    </row>
    <row r="65" spans="1:90" x14ac:dyDescent="0.2">
      <c r="A65" t="s">
        <v>108</v>
      </c>
      <c r="C65" t="s">
        <v>109</v>
      </c>
      <c r="D65" t="s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</row>
    <row r="66" spans="1:90" x14ac:dyDescent="0.2">
      <c r="A66" t="s">
        <v>11</v>
      </c>
      <c r="C66" t="s">
        <v>110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</row>
    <row r="67" spans="1:90" x14ac:dyDescent="0.2">
      <c r="A67" t="s">
        <v>111</v>
      </c>
      <c r="C67" t="s">
        <v>5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s="7">
        <v>253.47217479871713</v>
      </c>
      <c r="N67" t="s">
        <v>6</v>
      </c>
      <c r="O67" s="5">
        <v>253.98720489449792</v>
      </c>
      <c r="P67" s="7">
        <v>250.49349095728672</v>
      </c>
      <c r="Q67" s="7">
        <v>240.22658281259874</v>
      </c>
      <c r="R67" s="7">
        <v>227.0670014667129</v>
      </c>
      <c r="S67" s="7">
        <v>242.33838445551388</v>
      </c>
      <c r="T67" s="7">
        <v>233.64363251522414</v>
      </c>
      <c r="U67" s="7">
        <v>215.64036929793261</v>
      </c>
      <c r="V67" s="7">
        <v>204.98644483512393</v>
      </c>
      <c r="W67" s="7">
        <v>213.49869287192107</v>
      </c>
      <c r="X67" s="7">
        <v>201.83705034720256</v>
      </c>
      <c r="Y67" s="7">
        <v>196.05527719044377</v>
      </c>
      <c r="Z67" s="7">
        <v>192.96960244722678</v>
      </c>
      <c r="AA67" s="7">
        <v>191.69576355181243</v>
      </c>
      <c r="AB67" s="7">
        <v>177.1196666615254</v>
      </c>
      <c r="AC67" s="7">
        <v>214.69431074386517</v>
      </c>
      <c r="AD67" s="7">
        <v>214.52195084282621</v>
      </c>
      <c r="AE67" s="7">
        <v>230.1766654613765</v>
      </c>
      <c r="AF67" s="7">
        <v>231.53001362957954</v>
      </c>
      <c r="AG67" s="7">
        <v>266.42872643093244</v>
      </c>
      <c r="AH67" s="7">
        <v>284.32017979258569</v>
      </c>
      <c r="AI67" s="7">
        <v>213.08089548637244</v>
      </c>
      <c r="AJ67" s="7">
        <v>235.93820706856326</v>
      </c>
      <c r="AK67" s="7">
        <v>220.93284545568295</v>
      </c>
      <c r="AL67" s="7">
        <v>209.16002090773387</v>
      </c>
      <c r="AM67" s="7">
        <v>192.04083263554332</v>
      </c>
      <c r="AN67" s="7">
        <v>180.61692350934149</v>
      </c>
      <c r="AO67" s="7">
        <v>211.07346458117175</v>
      </c>
      <c r="AP67" s="7">
        <v>177.40703595315227</v>
      </c>
      <c r="AQ67" s="7">
        <v>156.29402015226665</v>
      </c>
      <c r="AR67" s="7">
        <v>130.41073978722557</v>
      </c>
      <c r="AS67" s="5">
        <v>104.0948422053693</v>
      </c>
      <c r="AT67" s="5">
        <v>74.71724859441818</v>
      </c>
      <c r="AU67" s="5">
        <v>134.33442446812572</v>
      </c>
      <c r="AV67" s="5">
        <v>192.58945244655206</v>
      </c>
      <c r="AW67" s="5">
        <v>194.2390037428444</v>
      </c>
      <c r="AX67" s="5">
        <v>149.17850159742869</v>
      </c>
      <c r="AY67" s="5">
        <v>181.66915386347159</v>
      </c>
      <c r="AZ67" s="5">
        <v>244.62200494131221</v>
      </c>
      <c r="BA67" s="5">
        <v>263.6273423112263</v>
      </c>
      <c r="BB67" s="5">
        <v>286.11013560505484</v>
      </c>
      <c r="BC67" s="5">
        <v>383.50288722431696</v>
      </c>
      <c r="BD67" s="5">
        <v>450.81027007489405</v>
      </c>
      <c r="BE67" s="5">
        <v>417.699225994931</v>
      </c>
      <c r="BF67" s="5">
        <v>311.39375563253731</v>
      </c>
      <c r="BG67" s="5">
        <v>275.46582184257448</v>
      </c>
      <c r="BH67" s="5">
        <v>341.16497644502863</v>
      </c>
      <c r="BI67" s="5">
        <v>329.20380156127487</v>
      </c>
      <c r="BJ67" s="5">
        <v>329.3110699917296</v>
      </c>
      <c r="BK67" s="5">
        <v>378.13612303769008</v>
      </c>
      <c r="BL67" s="5">
        <v>371.42050473692478</v>
      </c>
      <c r="BM67" s="5">
        <v>399.08290003713097</v>
      </c>
      <c r="BN67" s="5">
        <v>379.7097489428005</v>
      </c>
      <c r="BO67" s="5">
        <v>428.23635022537565</v>
      </c>
      <c r="BP67" s="5">
        <v>420.14275186523139</v>
      </c>
      <c r="BQ67" s="5">
        <v>485.03469734361596</v>
      </c>
      <c r="BR67" s="5">
        <v>520.76262320455464</v>
      </c>
      <c r="BS67" s="5">
        <v>549.16226314929509</v>
      </c>
      <c r="BT67" s="5">
        <v>609.1024809237465</v>
      </c>
      <c r="BU67" s="5">
        <v>682.60783270705724</v>
      </c>
      <c r="BV67" s="5">
        <v>717.54368441401948</v>
      </c>
      <c r="BW67" s="5">
        <v>730.88524150051717</v>
      </c>
      <c r="BX67" s="5">
        <v>708.66176096581057</v>
      </c>
      <c r="BY67" s="5">
        <v>793.2736772744488</v>
      </c>
      <c r="BZ67" s="5">
        <v>946.42577318119004</v>
      </c>
      <c r="CA67" s="5">
        <v>1004.3435336504176</v>
      </c>
    </row>
    <row r="68" spans="1:90" x14ac:dyDescent="0.2">
      <c r="A68" t="s">
        <v>112</v>
      </c>
      <c r="C68" t="s">
        <v>113</v>
      </c>
      <c r="D68" t="s">
        <v>6</v>
      </c>
      <c r="E68" t="s">
        <v>6</v>
      </c>
      <c r="F68" t="s">
        <v>6</v>
      </c>
      <c r="G68" t="s">
        <v>6</v>
      </c>
      <c r="H68" s="6">
        <v>93.008536135743114</v>
      </c>
      <c r="I68" t="s">
        <v>6</v>
      </c>
      <c r="J68" t="s">
        <v>6</v>
      </c>
      <c r="K68" s="6">
        <v>94.601775617490475</v>
      </c>
      <c r="L68" s="6">
        <v>109.31800623458307</v>
      </c>
      <c r="M68" s="6">
        <v>102.35965429218381</v>
      </c>
      <c r="N68" s="6">
        <v>84.652307036825206</v>
      </c>
      <c r="O68" s="6">
        <v>83.053412634139676</v>
      </c>
      <c r="P68" s="6">
        <v>86.459686998472677</v>
      </c>
      <c r="Q68" s="6">
        <v>120.92406088422177</v>
      </c>
      <c r="R68" s="6">
        <v>116.85960959888482</v>
      </c>
      <c r="S68" s="6">
        <v>107.69642208988607</v>
      </c>
      <c r="T68" s="6">
        <v>121.43571981967766</v>
      </c>
      <c r="U68" s="6">
        <v>124.92799065100266</v>
      </c>
      <c r="V68" s="6">
        <v>126.59796952421917</v>
      </c>
      <c r="W68" s="6">
        <v>120.59705560135933</v>
      </c>
      <c r="X68" s="6">
        <v>137.04611099098284</v>
      </c>
      <c r="Y68" s="7">
        <v>126.68152758958975</v>
      </c>
      <c r="Z68" s="7">
        <v>150.52217178169056</v>
      </c>
      <c r="AA68" s="7">
        <v>193.92529863354119</v>
      </c>
      <c r="AB68" s="7">
        <v>204.12655202294209</v>
      </c>
      <c r="AC68" s="7">
        <v>186.85762906725532</v>
      </c>
      <c r="AD68" s="7">
        <v>183.95837627204224</v>
      </c>
      <c r="AE68" s="7">
        <v>225.44860085327119</v>
      </c>
      <c r="AF68" s="7">
        <v>280.73149846744445</v>
      </c>
      <c r="AG68" s="7">
        <v>303.30459900502439</v>
      </c>
      <c r="AH68" s="7">
        <v>415.33471335494306</v>
      </c>
      <c r="AI68" s="7">
        <v>401.86981806053257</v>
      </c>
      <c r="AJ68" s="7">
        <v>442.001676628707</v>
      </c>
      <c r="AK68" s="7">
        <v>476.48894061821915</v>
      </c>
      <c r="AL68" s="7">
        <v>554.8577073221295</v>
      </c>
      <c r="AM68" s="7">
        <v>942.76908617476215</v>
      </c>
      <c r="AN68" s="7">
        <v>818.05625742821451</v>
      </c>
      <c r="AO68" s="7">
        <v>808.67966648906304</v>
      </c>
      <c r="AP68" s="7">
        <v>701.50231076558975</v>
      </c>
      <c r="AQ68" s="7">
        <v>592.61045509997291</v>
      </c>
      <c r="AR68" s="7">
        <v>599.66971842348153</v>
      </c>
      <c r="AS68" s="7">
        <v>509.55462370010093</v>
      </c>
      <c r="AT68" s="7">
        <v>461.75086678823419</v>
      </c>
      <c r="AU68" s="7">
        <v>400.38359408297003</v>
      </c>
      <c r="AV68" s="7">
        <v>305.22944918358905</v>
      </c>
      <c r="AW68" s="7">
        <v>259.87558605110519</v>
      </c>
      <c r="AX68" s="7">
        <v>241.8775357777829</v>
      </c>
      <c r="AY68" s="7">
        <v>218.72154941392213</v>
      </c>
      <c r="AZ68" s="7">
        <v>211.93105825507413</v>
      </c>
      <c r="BA68" s="7">
        <v>204.12352773234022</v>
      </c>
      <c r="BB68" s="7">
        <v>210.24796767731826</v>
      </c>
      <c r="BC68" s="7">
        <v>197.7431880683649</v>
      </c>
      <c r="BD68" s="7">
        <v>260.15431329938855</v>
      </c>
      <c r="BE68" s="5">
        <v>274.11984685462244</v>
      </c>
      <c r="BF68" s="5">
        <v>210.16079259680652</v>
      </c>
      <c r="BG68" s="5">
        <v>203.42833040064221</v>
      </c>
      <c r="BH68" s="5">
        <v>201.7517500589409</v>
      </c>
      <c r="BI68" s="5">
        <v>207.34715042950143</v>
      </c>
      <c r="BJ68" s="5">
        <v>231.05939818242732</v>
      </c>
      <c r="BK68" s="5">
        <v>226.21049082159138</v>
      </c>
      <c r="BL68" s="5">
        <v>245.7138932805359</v>
      </c>
      <c r="BM68" s="5">
        <v>257.04489436151454</v>
      </c>
      <c r="BN68" s="5">
        <v>268.46831638418416</v>
      </c>
      <c r="BO68" s="5">
        <v>268.20820973823163</v>
      </c>
      <c r="BP68" s="5">
        <v>281.85665608701504</v>
      </c>
      <c r="BQ68" s="5">
        <v>274.45186086272247</v>
      </c>
      <c r="BR68" s="5">
        <v>292.7857931890216</v>
      </c>
      <c r="BS68" s="5">
        <v>290.91035010166036</v>
      </c>
      <c r="BT68" s="5">
        <v>303.46465789083675</v>
      </c>
      <c r="BU68" s="5">
        <v>338.97831007263289</v>
      </c>
      <c r="BV68" s="5">
        <v>364.69566359802042</v>
      </c>
      <c r="BW68" s="5">
        <v>396.86828837924566</v>
      </c>
      <c r="BX68" s="5">
        <v>392.13388112825572</v>
      </c>
      <c r="BY68" s="5">
        <v>477.0425899972829</v>
      </c>
      <c r="BZ68" s="5">
        <v>454.76666666666665</v>
      </c>
      <c r="CA68" s="5">
        <v>420.79934779113995</v>
      </c>
    </row>
    <row r="69" spans="1:90" x14ac:dyDescent="0.2">
      <c r="A69" t="s">
        <v>114</v>
      </c>
      <c r="C69" t="s">
        <v>5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s="7">
        <v>134.37702348148039</v>
      </c>
      <c r="K69" s="7">
        <v>142.8491725255096</v>
      </c>
      <c r="L69" s="7">
        <v>154.23020772345254</v>
      </c>
      <c r="M69" s="7">
        <v>150.96560278264079</v>
      </c>
      <c r="N69" s="7">
        <v>164.69864924265204</v>
      </c>
      <c r="O69" s="7">
        <v>153.48072190936949</v>
      </c>
      <c r="P69" s="7">
        <v>154.33474868659033</v>
      </c>
      <c r="Q69" s="7">
        <v>149.60460058625679</v>
      </c>
      <c r="R69" s="7">
        <v>185.09937021981028</v>
      </c>
      <c r="S69" s="7">
        <v>162.68266148703376</v>
      </c>
      <c r="T69" s="7">
        <v>234.51216686227815</v>
      </c>
      <c r="U69" s="7">
        <v>239.43364061568585</v>
      </c>
      <c r="V69" s="7">
        <v>264.21174703833935</v>
      </c>
      <c r="W69" s="5">
        <v>249.67662979062132</v>
      </c>
      <c r="X69" s="5">
        <v>210.98258337569015</v>
      </c>
      <c r="Y69" s="5">
        <v>378.33157021349274</v>
      </c>
      <c r="Z69" s="5">
        <v>261.21470513024184</v>
      </c>
      <c r="AA69" s="5">
        <v>280.90625601591472</v>
      </c>
      <c r="AB69" s="5">
        <v>240.67928111600915</v>
      </c>
      <c r="AC69" s="5">
        <v>250.74627603338928</v>
      </c>
      <c r="AD69" s="5">
        <v>350.32606878817194</v>
      </c>
      <c r="AE69" s="5">
        <v>391.08676727558446</v>
      </c>
      <c r="AF69" s="5">
        <v>471.7622049237342</v>
      </c>
      <c r="AG69" s="5">
        <v>415.37835296875954</v>
      </c>
      <c r="AH69" s="5">
        <v>469.31672468019696</v>
      </c>
      <c r="AI69" s="5">
        <v>487.14540386400461</v>
      </c>
      <c r="AJ69" s="5">
        <v>685.23887430301011</v>
      </c>
      <c r="AK69" s="5">
        <v>741.72985759914809</v>
      </c>
      <c r="AL69" s="5">
        <v>740.30386067790823</v>
      </c>
      <c r="AM69" s="5">
        <v>806.17842620788849</v>
      </c>
      <c r="AN69" s="5">
        <v>734.70745089145055</v>
      </c>
      <c r="AO69" s="5">
        <v>631.41958000661884</v>
      </c>
      <c r="AP69" s="5">
        <v>659.99487405443813</v>
      </c>
      <c r="AQ69" s="5">
        <v>737.46959647325502</v>
      </c>
      <c r="AR69" s="5">
        <v>736.21596939709309</v>
      </c>
      <c r="AS69" s="5">
        <v>723.98622037735731</v>
      </c>
      <c r="AT69" s="5">
        <v>550.08776385037902</v>
      </c>
      <c r="AU69" s="7">
        <v>662.32985689471616</v>
      </c>
      <c r="AV69" s="7">
        <v>606.47565900279403</v>
      </c>
      <c r="AW69" s="7">
        <v>591.44574687561055</v>
      </c>
      <c r="AX69" s="7">
        <v>570.39159499091568</v>
      </c>
      <c r="AY69" s="7">
        <v>477.40883634125544</v>
      </c>
      <c r="AZ69" s="7">
        <v>409.49937303486092</v>
      </c>
      <c r="BA69" s="5">
        <v>428.53231431323991</v>
      </c>
      <c r="BB69" s="5">
        <v>416.40921221335844</v>
      </c>
      <c r="BC69" s="5">
        <v>526.79060600009734</v>
      </c>
      <c r="BD69" s="5">
        <v>619.59992928747533</v>
      </c>
      <c r="BE69" s="5">
        <v>459.01510050692093</v>
      </c>
      <c r="BF69" s="5">
        <v>498.1367804681899</v>
      </c>
      <c r="BG69" s="5">
        <v>297.80186791456941</v>
      </c>
      <c r="BH69" s="5">
        <v>238.41202139032188</v>
      </c>
      <c r="BI69" s="5">
        <v>278.4391415093915</v>
      </c>
      <c r="BJ69" s="5">
        <v>273.92074811092215</v>
      </c>
      <c r="BK69" s="5">
        <v>296.8589603695662</v>
      </c>
      <c r="BL69" s="5">
        <v>278.56709251807234</v>
      </c>
      <c r="BM69" s="5">
        <v>305.02216908884617</v>
      </c>
      <c r="BN69" s="5">
        <v>322.62771351156977</v>
      </c>
      <c r="BO69" s="5">
        <v>355.4662406310822</v>
      </c>
      <c r="BP69" s="5">
        <v>380.34600287369443</v>
      </c>
      <c r="BQ69" s="5">
        <v>356.02292176576509</v>
      </c>
      <c r="BR69" s="5">
        <v>353.73919773087187</v>
      </c>
      <c r="BS69" s="5">
        <v>387.53361862544239</v>
      </c>
      <c r="BT69" s="5">
        <v>339.17628162699782</v>
      </c>
      <c r="BU69" s="5">
        <v>332.21666308402826</v>
      </c>
      <c r="BV69" s="5">
        <v>398.46527491951502</v>
      </c>
      <c r="BW69" s="5">
        <v>399.95949189150565</v>
      </c>
      <c r="BX69" s="5">
        <v>378.7286653498208</v>
      </c>
      <c r="BY69" s="5">
        <v>463.9085864552294</v>
      </c>
      <c r="BZ69" s="5">
        <v>437.64500382420647</v>
      </c>
      <c r="CA69" s="5">
        <v>397.40548708570191</v>
      </c>
    </row>
    <row r="70" spans="1:90" x14ac:dyDescent="0.2">
      <c r="A70" t="s">
        <v>115</v>
      </c>
      <c r="C70" t="s">
        <v>116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s="5">
        <v>8.4318054047885198</v>
      </c>
      <c r="AR70" s="5">
        <v>8.4651466345691144</v>
      </c>
      <c r="AS70" s="5">
        <v>8.1862054294309949</v>
      </c>
      <c r="AT70" s="5">
        <v>8.5064986856468003</v>
      </c>
      <c r="AU70" s="5">
        <v>8.1485488542689115</v>
      </c>
      <c r="AV70" s="5">
        <v>7.0055724845135918</v>
      </c>
      <c r="AW70" s="5">
        <v>6.2164346380678612</v>
      </c>
      <c r="AX70" s="5">
        <v>6.124542788014522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t="s">
        <v>6</v>
      </c>
      <c r="BP70" s="5">
        <v>6.6067493256581296</v>
      </c>
      <c r="BQ70" s="5">
        <v>7.8793963111661771</v>
      </c>
      <c r="BR70" s="5">
        <v>8.8496895727825962</v>
      </c>
      <c r="BS70" s="5">
        <v>11.457282338919539</v>
      </c>
      <c r="BT70" s="5">
        <v>10.725193715894303</v>
      </c>
      <c r="BU70" s="5">
        <v>14.582088546748915</v>
      </c>
      <c r="BV70" s="5">
        <v>19.93481684402165</v>
      </c>
      <c r="BW70" s="5">
        <v>22.699578098485784</v>
      </c>
      <c r="BX70" s="5">
        <v>33.998248634658843</v>
      </c>
      <c r="BY70" s="5">
        <v>14.45833089582228</v>
      </c>
      <c r="BZ70" s="5">
        <v>11.786377442106627</v>
      </c>
      <c r="CA70" s="5">
        <v>14.671760655995836</v>
      </c>
    </row>
    <row r="71" spans="1:90" x14ac:dyDescent="0.2">
      <c r="A71" t="s">
        <v>117</v>
      </c>
      <c r="C71" t="s">
        <v>118</v>
      </c>
      <c r="D71" t="s">
        <v>6</v>
      </c>
      <c r="E71" t="s">
        <v>6</v>
      </c>
      <c r="F71" s="5">
        <v>24.973920177710735</v>
      </c>
      <c r="G71" s="5">
        <v>25.272285003019494</v>
      </c>
      <c r="H71" s="5">
        <v>28.171995989876059</v>
      </c>
      <c r="I71" s="5">
        <v>26.015965446093553</v>
      </c>
      <c r="J71" s="5">
        <v>28.707622241198738</v>
      </c>
      <c r="K71" s="5">
        <v>31.614167268467025</v>
      </c>
      <c r="L71" s="5">
        <v>49.127262219013325</v>
      </c>
      <c r="M71" s="5">
        <v>53.134097317402158</v>
      </c>
      <c r="N71" s="5">
        <v>48.04681605438433</v>
      </c>
      <c r="O71" s="5">
        <v>38.492115881466376</v>
      </c>
      <c r="P71" s="5">
        <v>37.029607405197417</v>
      </c>
      <c r="Q71" s="5">
        <v>36.62959073888036</v>
      </c>
      <c r="R71" s="5">
        <v>35.441820487479831</v>
      </c>
      <c r="S71" s="5">
        <v>51.9527040910164</v>
      </c>
      <c r="T71" s="5">
        <v>53.791061081253538</v>
      </c>
      <c r="U71" s="5">
        <v>54.962083989148923</v>
      </c>
      <c r="V71" s="5">
        <v>56.320639317276985</v>
      </c>
      <c r="W71" s="5">
        <v>57.324295862019007</v>
      </c>
      <c r="X71" s="5">
        <v>57.816555607802343</v>
      </c>
      <c r="Y71" s="5">
        <v>77.271580886207715</v>
      </c>
      <c r="Z71" s="5">
        <v>87.044242141515085</v>
      </c>
      <c r="AA71" s="5">
        <v>113.85513330433075</v>
      </c>
      <c r="AB71" s="5">
        <v>111.73697119034733</v>
      </c>
      <c r="AC71" s="5">
        <v>104.91154347434114</v>
      </c>
      <c r="AD71" s="5">
        <v>122.57893951790784</v>
      </c>
      <c r="AE71" s="5">
        <v>129.4322432187555</v>
      </c>
      <c r="AF71" s="5">
        <v>160.16076174805775</v>
      </c>
      <c r="AG71" s="5">
        <v>205.2734060829188</v>
      </c>
      <c r="AH71" s="5">
        <v>210.45279890682329</v>
      </c>
      <c r="AI71" s="5">
        <v>205.05802027874307</v>
      </c>
      <c r="AJ71" s="5">
        <v>198.93800075597781</v>
      </c>
      <c r="AK71" s="5">
        <v>202.15315508949766</v>
      </c>
      <c r="AL71" s="5">
        <v>195.10302808005213</v>
      </c>
      <c r="AM71" s="5">
        <v>215.5739560500638</v>
      </c>
      <c r="AN71" s="5">
        <v>242.03341458035746</v>
      </c>
      <c r="AO71" s="5">
        <v>260.31282081258644</v>
      </c>
      <c r="AP71" s="5">
        <v>294.92402725775236</v>
      </c>
      <c r="AQ71" s="5">
        <v>304.13614339811619</v>
      </c>
      <c r="AR71" s="5">
        <v>289.44845465535957</v>
      </c>
      <c r="AS71" s="5">
        <v>234.7081094250012</v>
      </c>
      <c r="AT71" s="5">
        <v>159.95773603638506</v>
      </c>
      <c r="AU71" t="s">
        <v>6</v>
      </c>
      <c r="AV71" s="5">
        <v>138.43858706685373</v>
      </c>
      <c r="AW71" t="s">
        <v>6</v>
      </c>
      <c r="AX71" t="s">
        <v>6</v>
      </c>
      <c r="AY71" t="s">
        <v>6</v>
      </c>
      <c r="AZ71" t="s">
        <v>6</v>
      </c>
      <c r="BA71" t="s">
        <v>6</v>
      </c>
      <c r="BB71" t="s">
        <v>6</v>
      </c>
      <c r="BC71" s="7">
        <v>124.07688896439771</v>
      </c>
      <c r="BD71" s="7">
        <v>141.55705630754983</v>
      </c>
      <c r="BE71" s="7">
        <v>141.0424839926707</v>
      </c>
      <c r="BF71" s="7">
        <v>178.67639371767717</v>
      </c>
      <c r="BG71" s="7">
        <v>127.81326260318779</v>
      </c>
      <c r="BH71" s="7">
        <v>125.57296674822447</v>
      </c>
      <c r="BI71" s="5">
        <v>144.13528193812024</v>
      </c>
      <c r="BJ71" s="5">
        <v>171.03054067053304</v>
      </c>
      <c r="BK71" s="5">
        <v>212.0446649810963</v>
      </c>
      <c r="BL71" s="5">
        <v>237.8822480782452</v>
      </c>
      <c r="BM71" s="5">
        <v>246.60004055159459</v>
      </c>
      <c r="BN71" s="5">
        <v>272.24625046046992</v>
      </c>
      <c r="BO71" s="5">
        <v>279.25025129929838</v>
      </c>
      <c r="BP71" s="5">
        <v>337.27535958079619</v>
      </c>
      <c r="BQ71" s="5">
        <v>302.55734271521811</v>
      </c>
      <c r="BR71" s="5">
        <v>369.09195302619912</v>
      </c>
      <c r="BS71" s="5">
        <v>438.50609607695429</v>
      </c>
      <c r="BT71" s="5">
        <v>479.89247263034468</v>
      </c>
      <c r="BU71" s="5">
        <v>456.21526212105215</v>
      </c>
      <c r="BV71" s="5">
        <v>490.89981320125924</v>
      </c>
      <c r="BW71" s="5">
        <v>415.08531710948057</v>
      </c>
      <c r="BX71" s="5">
        <v>477.82354738908327</v>
      </c>
      <c r="BY71" s="5">
        <v>487.77485534227293</v>
      </c>
      <c r="BZ71" s="5">
        <v>522.96085738267948</v>
      </c>
      <c r="CA71" s="5">
        <v>560.09147708411888</v>
      </c>
    </row>
    <row r="72" spans="1:90" x14ac:dyDescent="0.2">
      <c r="A72" t="s">
        <v>119</v>
      </c>
      <c r="C72" t="s">
        <v>5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s="5">
        <v>90.873644232065431</v>
      </c>
      <c r="AF72" s="5">
        <v>91.063394507559167</v>
      </c>
      <c r="AG72" t="s">
        <v>6</v>
      </c>
      <c r="AH72" t="s">
        <v>6</v>
      </c>
      <c r="AI72" t="s">
        <v>6</v>
      </c>
      <c r="AJ72" s="7">
        <v>104.88723626314882</v>
      </c>
      <c r="AK72" s="7">
        <v>117.4805462192291</v>
      </c>
      <c r="AL72" s="5">
        <v>106.85712574295047</v>
      </c>
      <c r="AM72" s="5">
        <v>85.543914183161007</v>
      </c>
      <c r="AN72" s="5">
        <v>71.39740818686964</v>
      </c>
      <c r="AO72" s="5">
        <v>76.830268924616078</v>
      </c>
      <c r="AP72" s="5">
        <v>77.684721775170388</v>
      </c>
      <c r="AQ72" s="5">
        <v>87.671296822500111</v>
      </c>
      <c r="AR72" s="5">
        <v>106.21102922754835</v>
      </c>
      <c r="AS72" s="5">
        <v>102.72429202179731</v>
      </c>
      <c r="AT72" s="5">
        <v>94.724599148289826</v>
      </c>
      <c r="AU72" s="5">
        <v>149.82128600366443</v>
      </c>
      <c r="AV72" s="5">
        <v>125.87437648627936</v>
      </c>
      <c r="AW72" s="5">
        <v>94.947167710092415</v>
      </c>
      <c r="AX72" s="5">
        <v>86.759181497810218</v>
      </c>
      <c r="AY72" s="5">
        <v>85.831416324805176</v>
      </c>
      <c r="AZ72" s="5">
        <v>97.991978152445228</v>
      </c>
      <c r="BA72" s="5">
        <v>80.876566558207358</v>
      </c>
      <c r="BB72" s="5">
        <v>77.244510866881001</v>
      </c>
      <c r="BC72" s="5">
        <v>75.893759366271865</v>
      </c>
      <c r="BD72" s="5">
        <v>80.795537674158737</v>
      </c>
      <c r="BE72" s="5">
        <v>97.448327016047998</v>
      </c>
      <c r="BF72" s="5">
        <v>101.74865840022959</v>
      </c>
      <c r="BG72" s="5">
        <v>94.435550781383597</v>
      </c>
      <c r="BH72" s="5">
        <v>90.857764257007901</v>
      </c>
      <c r="BI72" s="5">
        <v>108.21484440182071</v>
      </c>
      <c r="BJ72" s="5">
        <v>119.80228217038902</v>
      </c>
      <c r="BK72" s="5">
        <v>161.90064770598372</v>
      </c>
      <c r="BL72" s="5">
        <v>156.76858884402884</v>
      </c>
      <c r="BM72" s="5">
        <v>139.02543139553302</v>
      </c>
      <c r="BN72" s="5">
        <v>147.23118207942562</v>
      </c>
      <c r="BO72" s="5">
        <v>146.60340123979444</v>
      </c>
      <c r="BP72" s="5">
        <v>141.30974541468927</v>
      </c>
      <c r="BQ72" s="5">
        <v>136.42547936490661</v>
      </c>
      <c r="BR72" s="5">
        <v>141.54808777558719</v>
      </c>
      <c r="BS72" s="5">
        <v>160.61120300981841</v>
      </c>
      <c r="BT72" s="5">
        <v>168.81310627544232</v>
      </c>
      <c r="BU72" s="5">
        <v>238.36402234584941</v>
      </c>
      <c r="BV72" s="5">
        <v>301.29448668165395</v>
      </c>
      <c r="BW72" s="5">
        <v>270.81774137264443</v>
      </c>
      <c r="BX72" s="5">
        <v>247.08332893118356</v>
      </c>
      <c r="BY72" s="5">
        <v>233.7253945955797</v>
      </c>
      <c r="BZ72" s="5">
        <v>230.36021836091811</v>
      </c>
      <c r="CA72" s="5">
        <v>251.70993148656083</v>
      </c>
    </row>
    <row r="73" spans="1:90" x14ac:dyDescent="0.2">
      <c r="A73" t="s">
        <v>120</v>
      </c>
      <c r="C73" t="s">
        <v>5</v>
      </c>
      <c r="D73" s="5">
        <v>502.11227233907499</v>
      </c>
      <c r="E73" s="5">
        <v>558.61045140206545</v>
      </c>
      <c r="F73" s="5">
        <v>566.08901340798673</v>
      </c>
      <c r="G73" s="5">
        <v>523.5558963824127</v>
      </c>
      <c r="H73" s="5">
        <v>593.79111871162218</v>
      </c>
      <c r="I73" s="5">
        <v>748.75189275202354</v>
      </c>
      <c r="J73" s="5">
        <v>708.92206647086903</v>
      </c>
      <c r="K73" s="5">
        <v>723.88427946921513</v>
      </c>
      <c r="L73" s="5">
        <v>786.07955726515445</v>
      </c>
      <c r="M73" s="5">
        <v>730.79670800505619</v>
      </c>
      <c r="N73" s="5">
        <v>715.5469880605375</v>
      </c>
      <c r="O73" s="5">
        <v>806.35277119715943</v>
      </c>
      <c r="P73" s="5">
        <v>816.25963605751087</v>
      </c>
      <c r="Q73" s="5">
        <v>926.08451433017672</v>
      </c>
      <c r="R73" s="5">
        <v>1039.4039658673544</v>
      </c>
      <c r="S73" s="5">
        <v>1088.205853758735</v>
      </c>
      <c r="T73" s="5">
        <v>1043.7102424244445</v>
      </c>
      <c r="U73" s="5">
        <v>1095.5902428687534</v>
      </c>
      <c r="V73" s="5">
        <v>1089.60275853195</v>
      </c>
      <c r="W73" s="5">
        <v>1185.8916991863105</v>
      </c>
      <c r="X73" s="5">
        <v>1387.8186448288561</v>
      </c>
      <c r="Y73" s="5">
        <v>1295.621002226058</v>
      </c>
      <c r="Z73" s="5">
        <v>1331.0901921278144</v>
      </c>
      <c r="AA73" s="5">
        <v>1607.1749605202995</v>
      </c>
      <c r="AB73" s="5">
        <v>1779.9858363889123</v>
      </c>
      <c r="AC73" s="5">
        <v>1947.1583228504232</v>
      </c>
      <c r="AD73" s="5">
        <v>2096.2428791084321</v>
      </c>
      <c r="AE73" s="5">
        <v>2352.6521140303003</v>
      </c>
      <c r="AF73" s="5">
        <v>2197.3656932795852</v>
      </c>
      <c r="AG73" s="5">
        <v>2234.2642016332102</v>
      </c>
      <c r="AH73" s="5">
        <v>2483.4994856071321</v>
      </c>
      <c r="AI73" s="5">
        <v>2358.4144970475909</v>
      </c>
      <c r="AJ73" s="5">
        <v>3122.1379647630433</v>
      </c>
      <c r="AK73" s="5">
        <v>3018.5385695062587</v>
      </c>
      <c r="AL73" s="5">
        <v>2890.1990254080756</v>
      </c>
      <c r="AM73" s="5">
        <v>3622.5748810923624</v>
      </c>
      <c r="AN73" s="5">
        <v>3776.0813523900742</v>
      </c>
      <c r="AO73" s="5">
        <v>3178.054977655062</v>
      </c>
      <c r="AP73" s="5">
        <v>3073.503854072032</v>
      </c>
      <c r="AQ73" s="5">
        <v>2857.461537372822</v>
      </c>
      <c r="AR73" s="5">
        <v>3028.5984368657696</v>
      </c>
      <c r="AS73" s="5">
        <v>2868.5868349000843</v>
      </c>
      <c r="AT73" s="5">
        <v>3024.3345730555011</v>
      </c>
      <c r="AU73" s="5">
        <v>3356.9270731884621</v>
      </c>
      <c r="AV73" s="5">
        <v>3582.7726937389457</v>
      </c>
      <c r="AW73" s="5">
        <v>4504.019573285048</v>
      </c>
      <c r="AX73" s="5">
        <v>3762.7113296536477</v>
      </c>
      <c r="AY73" s="5">
        <v>3994.1662994910539</v>
      </c>
      <c r="AZ73" s="5">
        <v>4002.1083214826022</v>
      </c>
      <c r="BA73" s="5">
        <v>4127.4226559808312</v>
      </c>
      <c r="BB73" s="5">
        <v>4342.5762258701116</v>
      </c>
      <c r="BC73" s="5">
        <v>4482.3545092163331</v>
      </c>
      <c r="BD73" s="5">
        <v>4435.5225713192449</v>
      </c>
      <c r="BE73" s="5">
        <v>4287.5285352020264</v>
      </c>
      <c r="BF73" s="5">
        <v>4276.3793513411019</v>
      </c>
      <c r="BG73" s="5">
        <v>4119.8801148530902</v>
      </c>
      <c r="BH73" s="5">
        <v>4186.2623326524617</v>
      </c>
      <c r="BI73" s="5">
        <v>3925.8813438529655</v>
      </c>
      <c r="BJ73" s="5">
        <v>5267.9762667788518</v>
      </c>
      <c r="BK73" s="5">
        <v>5238.4426332305948</v>
      </c>
      <c r="BL73" s="5">
        <v>6290.6963768335409</v>
      </c>
      <c r="BM73" s="5">
        <v>5991.2410081713679</v>
      </c>
      <c r="BN73" s="5">
        <v>6540.122669056158</v>
      </c>
      <c r="BO73" s="5">
        <v>6923.8779419441325</v>
      </c>
      <c r="BP73" s="5">
        <v>7324.1854889976667</v>
      </c>
      <c r="BQ73" s="5">
        <v>7651.4169580438966</v>
      </c>
      <c r="BR73" s="5">
        <v>7186.0983067677344</v>
      </c>
      <c r="BS73" s="5">
        <v>8035.5697424135478</v>
      </c>
      <c r="BT73" s="5">
        <v>7280.6723941179043</v>
      </c>
      <c r="BU73" s="5">
        <v>8142.7203878443006</v>
      </c>
      <c r="BV73" s="5">
        <v>8950.1328778806856</v>
      </c>
      <c r="BW73" s="5">
        <v>11694.48044903994</v>
      </c>
      <c r="BX73" s="5">
        <v>11265.111577772326</v>
      </c>
      <c r="BY73" s="5">
        <v>12008.70642835302</v>
      </c>
      <c r="BZ73" s="5">
        <v>11825.909998032439</v>
      </c>
      <c r="CA73" s="5">
        <v>16451.906783081591</v>
      </c>
    </row>
    <row r="74" spans="1:90" x14ac:dyDescent="0.2">
      <c r="A74" t="s">
        <v>121</v>
      </c>
      <c r="C74" t="s">
        <v>122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s="5">
        <v>8.9777719217074656E-2</v>
      </c>
      <c r="AB74" s="5">
        <v>6.7858416695170398E-2</v>
      </c>
      <c r="AC74" s="5">
        <v>8.6558694020949081E-2</v>
      </c>
      <c r="AD74" s="5">
        <v>9.806567638590509E-2</v>
      </c>
      <c r="AE74" s="5">
        <v>0.13058262456111364</v>
      </c>
      <c r="AF74" s="5">
        <v>0.1656164111448602</v>
      </c>
      <c r="AG74" s="5">
        <v>0.19813578504047269</v>
      </c>
      <c r="AH74" s="5">
        <v>0.13186816953814309</v>
      </c>
      <c r="AI74" s="5">
        <v>0.15018061652845366</v>
      </c>
      <c r="AJ74" s="5">
        <v>0.18432239697664882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s="5">
        <v>115.74878857813911</v>
      </c>
      <c r="AT74" s="5">
        <v>95.922764905897196</v>
      </c>
      <c r="AU74" s="5">
        <v>64.259883721584075</v>
      </c>
      <c r="AV74" s="5">
        <v>54.217691079987709</v>
      </c>
      <c r="AW74" s="5">
        <v>55.058763445599091</v>
      </c>
      <c r="AX74" s="5">
        <v>55.17076319965205</v>
      </c>
      <c r="AY74" s="5">
        <v>49.599858367868876</v>
      </c>
      <c r="AZ74" s="5">
        <v>48.841329794727095</v>
      </c>
      <c r="BA74" s="5">
        <v>41.99644497075618</v>
      </c>
      <c r="BB74" s="5">
        <v>43.195239394824839</v>
      </c>
      <c r="BC74" s="5">
        <v>49.604156701219885</v>
      </c>
      <c r="BD74" s="5">
        <v>45.126743057883353</v>
      </c>
      <c r="BE74" s="5">
        <v>57.271106818469164</v>
      </c>
      <c r="BF74" s="5">
        <v>58.430172476073103</v>
      </c>
      <c r="BG74" s="5">
        <v>52.524078861272351</v>
      </c>
      <c r="BH74" s="5">
        <v>52.624044336833244</v>
      </c>
      <c r="BI74" s="5">
        <v>55.31857309541509</v>
      </c>
      <c r="BJ74" s="5">
        <v>55.334336807549803</v>
      </c>
      <c r="BK74" s="5">
        <v>52.406184907183075</v>
      </c>
      <c r="BL74" s="5">
        <v>51.900429032314271</v>
      </c>
      <c r="BM74" s="5">
        <v>54.835489513499844</v>
      </c>
      <c r="BN74" s="5">
        <v>61.912137009330529</v>
      </c>
      <c r="BO74" s="5">
        <v>82.666373175251792</v>
      </c>
      <c r="BP74" s="5">
        <v>86.096169174771887</v>
      </c>
      <c r="BQ74" s="5">
        <v>93.101732688923306</v>
      </c>
      <c r="BR74" s="5">
        <v>114.2573790597195</v>
      </c>
      <c r="BS74" s="5">
        <v>99.588217640586819</v>
      </c>
      <c r="BT74" s="5">
        <v>102.29204840082282</v>
      </c>
      <c r="BU74" s="5">
        <v>96.797770604135764</v>
      </c>
      <c r="BV74" s="5">
        <v>90.063027316646284</v>
      </c>
      <c r="BW74" s="5">
        <v>93.856083883233325</v>
      </c>
      <c r="BX74" s="5">
        <v>88.756545465137279</v>
      </c>
      <c r="BY74" s="5">
        <v>89.54488965360629</v>
      </c>
      <c r="BZ74" s="5">
        <v>98.592936502942436</v>
      </c>
      <c r="CA74" s="5">
        <v>100.89918627494261</v>
      </c>
      <c r="CC74" s="8"/>
      <c r="CD74" s="8"/>
      <c r="CH74" s="8"/>
    </row>
    <row r="75" spans="1:90" x14ac:dyDescent="0.2">
      <c r="A75" t="s">
        <v>123</v>
      </c>
      <c r="C75" t="s">
        <v>124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s="5">
        <v>194.77554051038999</v>
      </c>
      <c r="AQ75" s="5">
        <v>192.39568076513063</v>
      </c>
      <c r="AR75" s="5">
        <v>190.13445194114368</v>
      </c>
      <c r="AS75" s="5">
        <v>135.35531473324085</v>
      </c>
      <c r="AT75" s="5">
        <v>143.73362812786436</v>
      </c>
      <c r="AU75" s="5">
        <v>141.51742222902513</v>
      </c>
      <c r="AV75" s="5">
        <v>170.19757940909091</v>
      </c>
      <c r="AW75" s="5">
        <v>178.30510700500841</v>
      </c>
      <c r="AX75" s="5">
        <v>168.85858999957918</v>
      </c>
      <c r="AY75" s="5">
        <v>174.70566715463352</v>
      </c>
      <c r="AZ75" s="5">
        <v>201.04563860512403</v>
      </c>
      <c r="BA75" s="5">
        <v>176.20762237393234</v>
      </c>
      <c r="BB75" s="5">
        <v>186.75515549277793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</row>
    <row r="76" spans="1:90" x14ac:dyDescent="0.2">
      <c r="A76" t="s">
        <v>125</v>
      </c>
      <c r="C76" t="s">
        <v>5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s="6">
        <v>82.919723300209938</v>
      </c>
      <c r="X76" s="6">
        <v>83.732965804558802</v>
      </c>
      <c r="Y76" s="6">
        <v>96.221216996527758</v>
      </c>
      <c r="Z76" s="6">
        <v>127.60440798821125</v>
      </c>
      <c r="AA76" s="6">
        <v>120.17449661864377</v>
      </c>
      <c r="AB76" s="6">
        <v>104.67180081684731</v>
      </c>
      <c r="AC76" s="6">
        <v>86.268083775115514</v>
      </c>
      <c r="AD76" s="6">
        <v>97.178420715703922</v>
      </c>
      <c r="AE76" s="5">
        <v>116.14169993844318</v>
      </c>
      <c r="AF76" s="5">
        <v>124.73881385190245</v>
      </c>
      <c r="AG76" s="5">
        <v>134.84150533371658</v>
      </c>
      <c r="AH76" s="5">
        <v>174.70158553883596</v>
      </c>
      <c r="AI76" s="5">
        <v>201.76516690186128</v>
      </c>
      <c r="AJ76" s="5">
        <v>168.06005984655673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s="5">
        <v>78.999339325539637</v>
      </c>
      <c r="AW76" s="5">
        <v>85.915637334636713</v>
      </c>
      <c r="AX76" t="s">
        <v>6</v>
      </c>
      <c r="AY76" t="s">
        <v>6</v>
      </c>
      <c r="AZ76" t="s">
        <v>6</v>
      </c>
      <c r="BA76" t="s">
        <v>6</v>
      </c>
      <c r="BB76" t="s">
        <v>6</v>
      </c>
      <c r="BC76" t="s">
        <v>6</v>
      </c>
      <c r="BD76" s="5">
        <v>38.702535019622161</v>
      </c>
      <c r="BE76" s="5">
        <v>52.069389115838305</v>
      </c>
      <c r="BF76" s="5">
        <v>87.457038503079758</v>
      </c>
      <c r="BG76" s="5">
        <v>189.7898531256923</v>
      </c>
      <c r="BH76" s="5">
        <v>228.7640768447574</v>
      </c>
      <c r="BI76" s="5">
        <v>250.14770225506433</v>
      </c>
      <c r="BJ76" s="5">
        <v>250.90713290228211</v>
      </c>
      <c r="BK76" s="5">
        <v>248.19901666568342</v>
      </c>
      <c r="BL76" s="5">
        <v>232.35396995771944</v>
      </c>
      <c r="BM76" s="5">
        <v>218.80562484222472</v>
      </c>
      <c r="BN76" s="5">
        <v>213.69150813083058</v>
      </c>
      <c r="BO76" s="5">
        <v>226.66333780651928</v>
      </c>
      <c r="BP76" s="5">
        <v>270.15582720346134</v>
      </c>
      <c r="BQ76" s="5">
        <v>227.45295399048868</v>
      </c>
      <c r="BR76" s="5">
        <v>231.38619624539601</v>
      </c>
      <c r="BS76" s="5">
        <v>250.87960747785885</v>
      </c>
      <c r="BT76" s="5">
        <v>233.6582731074644</v>
      </c>
      <c r="BU76" s="5">
        <v>190.17042002326215</v>
      </c>
      <c r="BV76" s="5">
        <v>195.70506118783888</v>
      </c>
      <c r="BW76" s="5">
        <v>191.80407855239227</v>
      </c>
      <c r="BX76" s="5">
        <v>229.08432185216989</v>
      </c>
      <c r="BY76" s="5">
        <v>227.35493670714717</v>
      </c>
      <c r="BZ76" s="5">
        <v>243.29464927898502</v>
      </c>
      <c r="CA76" s="5">
        <v>231.65323493284103</v>
      </c>
    </row>
    <row r="77" spans="1:90" x14ac:dyDescent="0.2">
      <c r="A77" s="4" t="s">
        <v>13</v>
      </c>
      <c r="CB77" t="s">
        <v>316</v>
      </c>
      <c r="CC77" s="8">
        <f t="shared" ref="CC77:CK78" si="0">BR78-BQ78</f>
        <v>2733.7545512122961</v>
      </c>
      <c r="CD77" s="8">
        <f t="shared" si="0"/>
        <v>279.7722268427824</v>
      </c>
      <c r="CE77" s="8">
        <f t="shared" si="0"/>
        <v>4444.5621295197707</v>
      </c>
      <c r="CF77" s="8">
        <f t="shared" si="0"/>
        <v>-119.20675123543697</v>
      </c>
      <c r="CG77" s="8">
        <f t="shared" si="0"/>
        <v>-269.72296459202698</v>
      </c>
      <c r="CH77" s="8">
        <f t="shared" si="0"/>
        <v>869.00651312314585</v>
      </c>
      <c r="CI77" s="8">
        <f t="shared" si="0"/>
        <v>-164.90104218594934</v>
      </c>
      <c r="CJ77" s="8">
        <f t="shared" si="0"/>
        <v>-533.57317684182635</v>
      </c>
      <c r="CK77" s="8">
        <f t="shared" si="0"/>
        <v>1629.6684520596027</v>
      </c>
      <c r="CL77" s="8">
        <f>CA78-BZ78</f>
        <v>1838.2688924184149</v>
      </c>
    </row>
    <row r="78" spans="1:90" x14ac:dyDescent="0.2">
      <c r="A78" t="s">
        <v>126</v>
      </c>
      <c r="C78" t="s">
        <v>5</v>
      </c>
      <c r="D78" t="s">
        <v>6</v>
      </c>
      <c r="E78" s="5">
        <v>4324.4010737989247</v>
      </c>
      <c r="F78" s="5">
        <v>8763.1564882986186</v>
      </c>
      <c r="G78" s="5">
        <v>14084.446957235219</v>
      </c>
      <c r="H78" s="5">
        <v>16161.949337375461</v>
      </c>
      <c r="I78" s="5">
        <v>15035.691699167715</v>
      </c>
      <c r="J78" s="5">
        <v>14889.023201980894</v>
      </c>
      <c r="K78" s="5">
        <v>15195.072838955994</v>
      </c>
      <c r="L78" s="5">
        <v>14511.377086190845</v>
      </c>
      <c r="M78" s="5">
        <v>13516.428773958944</v>
      </c>
      <c r="N78" s="5">
        <v>12645.911386619759</v>
      </c>
      <c r="O78" s="5">
        <v>12366.101992172236</v>
      </c>
      <c r="P78" s="5">
        <v>12621.975178701474</v>
      </c>
      <c r="Q78" s="5">
        <v>13109.742243371031</v>
      </c>
      <c r="R78" s="5">
        <v>12523.096990784017</v>
      </c>
      <c r="S78" s="5">
        <v>12665.677573349516</v>
      </c>
      <c r="T78" s="5">
        <v>11737.388038836798</v>
      </c>
      <c r="U78" s="5">
        <v>11592.813984650475</v>
      </c>
      <c r="V78" s="5">
        <v>12325.529908829298</v>
      </c>
      <c r="W78" s="5">
        <v>11973.1107199776</v>
      </c>
      <c r="X78" s="5">
        <v>11276.183704301809</v>
      </c>
      <c r="Y78" s="5">
        <v>11298.143543439968</v>
      </c>
      <c r="Z78" s="5">
        <v>11676.65693368864</v>
      </c>
      <c r="AA78" s="5">
        <v>11746.077267797969</v>
      </c>
      <c r="AB78" s="5">
        <v>11665.55676234943</v>
      </c>
      <c r="AC78" s="5">
        <v>12234.341644679787</v>
      </c>
      <c r="AD78" s="5">
        <v>13000.250734765079</v>
      </c>
      <c r="AE78" s="5">
        <v>13199.556059579892</v>
      </c>
      <c r="AF78" s="5">
        <v>13809.618634679877</v>
      </c>
      <c r="AG78" s="5">
        <v>14386.70281646653</v>
      </c>
      <c r="AH78" s="5">
        <v>13928.823291303521</v>
      </c>
      <c r="AI78" s="5">
        <v>14657.609229971882</v>
      </c>
      <c r="AJ78" s="5">
        <v>14481.817824521864</v>
      </c>
      <c r="AK78" s="5">
        <v>15741.594773574936</v>
      </c>
      <c r="AL78" s="5">
        <v>17156.79124823591</v>
      </c>
      <c r="AM78" s="5">
        <v>18280.831020529549</v>
      </c>
      <c r="AN78" s="5">
        <v>18821.580284626372</v>
      </c>
      <c r="AO78" s="5">
        <v>19172.822155787999</v>
      </c>
      <c r="AP78" s="5">
        <v>19591.52665352646</v>
      </c>
      <c r="AQ78" s="5">
        <v>19899.031760031281</v>
      </c>
      <c r="AR78" s="5">
        <v>19798.398519553455</v>
      </c>
      <c r="AS78" s="5">
        <v>19779.776127837769</v>
      </c>
      <c r="AT78" s="5">
        <v>18267.626865953549</v>
      </c>
      <c r="AU78" s="5">
        <v>18065.898672515683</v>
      </c>
      <c r="AV78" s="5">
        <v>18020.481571377011</v>
      </c>
      <c r="AW78" s="5">
        <v>17758.711229268341</v>
      </c>
      <c r="AX78" s="5">
        <v>16737.953414163923</v>
      </c>
      <c r="AY78" s="5">
        <v>15370.589838902099</v>
      </c>
      <c r="AZ78" s="5">
        <v>14164.226261945421</v>
      </c>
      <c r="BA78" s="5">
        <v>14654.003635774521</v>
      </c>
      <c r="BB78" s="5">
        <v>15286.613213045939</v>
      </c>
      <c r="BC78" s="5">
        <v>15036.229607342199</v>
      </c>
      <c r="BD78" s="5">
        <v>15434.859695907278</v>
      </c>
      <c r="BE78" s="5">
        <v>15513.166421574093</v>
      </c>
      <c r="BF78" s="5">
        <v>15798.781430866375</v>
      </c>
      <c r="BG78" s="5">
        <v>16396.747734312426</v>
      </c>
      <c r="BH78" s="5">
        <v>17117.880768806037</v>
      </c>
      <c r="BI78" s="5">
        <v>17913.50965957572</v>
      </c>
      <c r="BJ78" s="5">
        <v>19530.368542906959</v>
      </c>
      <c r="BK78" s="5">
        <v>21047.398305506911</v>
      </c>
      <c r="BL78" s="5">
        <v>22008.683207035137</v>
      </c>
      <c r="BM78" s="5">
        <v>19878.435039303666</v>
      </c>
      <c r="BN78" s="5">
        <v>20550.218731022178</v>
      </c>
      <c r="BO78" s="5">
        <v>19541.273675264187</v>
      </c>
      <c r="BP78" s="5">
        <v>18063.645547040251</v>
      </c>
      <c r="BQ78" s="5">
        <v>18358.293176220428</v>
      </c>
      <c r="BR78" s="5">
        <v>21092.047727432724</v>
      </c>
      <c r="BS78" s="5">
        <v>21371.819954275506</v>
      </c>
      <c r="BT78" s="5">
        <v>25816.382083795277</v>
      </c>
      <c r="BU78" s="5">
        <v>25697.17533255984</v>
      </c>
      <c r="BV78" s="5">
        <v>25427.452367967813</v>
      </c>
      <c r="BW78" s="5">
        <v>26296.458881090959</v>
      </c>
      <c r="BX78" s="5">
        <v>26131.55783890501</v>
      </c>
      <c r="BY78" s="5">
        <v>25597.984662063183</v>
      </c>
      <c r="BZ78" s="5">
        <v>27227.653114122786</v>
      </c>
      <c r="CA78" s="5">
        <v>29065.922006541201</v>
      </c>
      <c r="CB78" t="s">
        <v>317</v>
      </c>
      <c r="CC78" s="8">
        <f t="shared" si="0"/>
        <v>-18933.61407785234</v>
      </c>
      <c r="CD78" s="8">
        <f t="shared" si="0"/>
        <v>-2500.3627446484752</v>
      </c>
      <c r="CE78" s="8">
        <f t="shared" si="0"/>
        <v>-8369.8133182122838</v>
      </c>
      <c r="CF78" s="8">
        <f t="shared" si="0"/>
        <v>24197.081275521545</v>
      </c>
      <c r="CG78" s="8">
        <f t="shared" si="0"/>
        <v>47059.054862383637</v>
      </c>
      <c r="CH78" s="8">
        <f t="shared" si="0"/>
        <v>41199.275519334711</v>
      </c>
      <c r="CI78" s="8">
        <f t="shared" si="0"/>
        <v>-9822.3838472274365</v>
      </c>
      <c r="CJ78" s="8">
        <f t="shared" si="0"/>
        <v>-10473.051023751148</v>
      </c>
      <c r="CK78" s="8">
        <f t="shared" si="0"/>
        <v>19893.496605497203</v>
      </c>
      <c r="CL78" s="8">
        <f>CA79-BZ79</f>
        <v>52366.89485090971</v>
      </c>
    </row>
    <row r="79" spans="1:90" x14ac:dyDescent="0.2">
      <c r="A79" t="s">
        <v>127</v>
      </c>
      <c r="C79" t="s">
        <v>128</v>
      </c>
      <c r="D79" s="5">
        <v>175907.12108605515</v>
      </c>
      <c r="E79" s="5">
        <v>189048.97213799128</v>
      </c>
      <c r="F79" s="5">
        <v>404493.1391004303</v>
      </c>
      <c r="G79" s="5">
        <v>569793.14302611491</v>
      </c>
      <c r="H79" s="5">
        <v>586649.37786991545</v>
      </c>
      <c r="I79" s="5">
        <v>506170.91541635169</v>
      </c>
      <c r="J79" s="5">
        <v>479135.87502369238</v>
      </c>
      <c r="K79" s="5">
        <v>485404.87291924952</v>
      </c>
      <c r="L79" s="5">
        <v>499255.40554295183</v>
      </c>
      <c r="M79" s="5">
        <v>496293.61617421417</v>
      </c>
      <c r="N79" s="5">
        <v>499769.7275563681</v>
      </c>
      <c r="O79" s="5">
        <v>487469.34293725173</v>
      </c>
      <c r="P79" s="5">
        <v>508088.2798627587</v>
      </c>
      <c r="Q79" s="5">
        <v>550543.81861701061</v>
      </c>
      <c r="R79" s="5">
        <v>543046.50181777019</v>
      </c>
      <c r="S79" s="5">
        <v>524941.32601470256</v>
      </c>
      <c r="T79" s="5">
        <v>527240.42313475476</v>
      </c>
      <c r="U79" s="5">
        <v>623402.86593199219</v>
      </c>
      <c r="V79" s="5">
        <v>715710.03458203573</v>
      </c>
      <c r="W79" s="5">
        <v>738695.60292393621</v>
      </c>
      <c r="X79" s="5">
        <v>706246.23418646853</v>
      </c>
      <c r="Y79" s="5">
        <v>654512.91218226566</v>
      </c>
      <c r="Z79" s="5">
        <v>588882.5722110474</v>
      </c>
      <c r="AA79" s="5">
        <v>588035.61881141865</v>
      </c>
      <c r="AB79" s="5">
        <v>558825.1393450523</v>
      </c>
      <c r="AC79" s="5">
        <v>551528.07203234883</v>
      </c>
      <c r="AD79" s="5">
        <v>521239.18438983656</v>
      </c>
      <c r="AE79" s="5">
        <v>507060.2587905362</v>
      </c>
      <c r="AF79" s="5">
        <v>526196.55684964161</v>
      </c>
      <c r="AG79" s="5">
        <v>529525.23937334109</v>
      </c>
      <c r="AH79" s="5">
        <v>532564.34076193057</v>
      </c>
      <c r="AI79" s="5">
        <v>531335.35042739427</v>
      </c>
      <c r="AJ79" s="5">
        <v>591834.57067641721</v>
      </c>
      <c r="AK79" s="5">
        <v>699941.11178176175</v>
      </c>
      <c r="AL79" s="5">
        <v>683519.96766551444</v>
      </c>
      <c r="AM79" s="5">
        <v>718935.03644591023</v>
      </c>
      <c r="AN79" s="5">
        <v>770711.55220774922</v>
      </c>
      <c r="AO79" s="5">
        <v>821654.8588391185</v>
      </c>
      <c r="AP79" s="5">
        <v>814913.21544293559</v>
      </c>
      <c r="AQ79" s="5">
        <v>797865.98609541438</v>
      </c>
      <c r="AR79" s="5">
        <v>791125.52692665672</v>
      </c>
      <c r="AS79" s="5">
        <v>758217.28645970579</v>
      </c>
      <c r="AT79" s="5">
        <v>669786.53317556682</v>
      </c>
      <c r="AU79" s="5">
        <v>705819.68684544216</v>
      </c>
      <c r="AV79" s="5">
        <v>668046.72161587758</v>
      </c>
      <c r="AW79" s="5">
        <v>633319.06032861467</v>
      </c>
      <c r="AX79" s="5">
        <v>591579.8357920337</v>
      </c>
      <c r="AY79" s="5">
        <v>559401.15833088022</v>
      </c>
      <c r="AZ79" s="5">
        <v>556507.32447866281</v>
      </c>
      <c r="BA79" s="5">
        <v>543941.26310014527</v>
      </c>
      <c r="BB79" s="5">
        <v>545279.81611595268</v>
      </c>
      <c r="BC79" s="5">
        <v>566381.00923634262</v>
      </c>
      <c r="BD79" s="5">
        <v>570980.95764428005</v>
      </c>
      <c r="BE79" s="5">
        <v>641102.53015482333</v>
      </c>
      <c r="BF79" s="5">
        <v>729680.55689435068</v>
      </c>
      <c r="BG79" s="5">
        <v>795293.5171522859</v>
      </c>
      <c r="BH79" s="5">
        <v>831923.86603669962</v>
      </c>
      <c r="BI79" s="5">
        <v>843911.66233930283</v>
      </c>
      <c r="BJ79" s="5">
        <v>866430.47090541816</v>
      </c>
      <c r="BK79" s="5">
        <v>929457.82359084219</v>
      </c>
      <c r="BL79" s="5">
        <v>1002596.4174101321</v>
      </c>
      <c r="BM79" s="5">
        <v>1031257.143286537</v>
      </c>
      <c r="BN79" s="5">
        <v>1019045.9408180772</v>
      </c>
      <c r="BO79" s="5">
        <v>962443.2343391137</v>
      </c>
      <c r="BP79" s="5">
        <v>888413.21665149624</v>
      </c>
      <c r="BQ79" s="5">
        <v>833765.01674895454</v>
      </c>
      <c r="BR79" s="5">
        <v>814831.4026711022</v>
      </c>
      <c r="BS79" s="5">
        <v>812331.03992645373</v>
      </c>
      <c r="BT79" s="5">
        <v>803961.22660824144</v>
      </c>
      <c r="BU79" s="5">
        <v>828158.30788376299</v>
      </c>
      <c r="BV79" s="5">
        <v>875217.36274614662</v>
      </c>
      <c r="BW79" s="5">
        <v>916416.63826548134</v>
      </c>
      <c r="BX79" s="5">
        <v>906594.2544182539</v>
      </c>
      <c r="BY79" s="5">
        <v>896121.20339450275</v>
      </c>
      <c r="BZ79" s="5">
        <v>916014.7</v>
      </c>
      <c r="CA79" s="5">
        <v>968381.59485090966</v>
      </c>
    </row>
    <row r="80" spans="1:90" x14ac:dyDescent="0.2">
      <c r="A80" s="4" t="s">
        <v>14</v>
      </c>
    </row>
    <row r="81" spans="1:90" x14ac:dyDescent="0.2">
      <c r="A81" t="s">
        <v>129</v>
      </c>
      <c r="C81" t="s">
        <v>130</v>
      </c>
      <c r="D81" s="5">
        <v>5415.570376089232</v>
      </c>
      <c r="E81" s="5">
        <v>4292.8102562841732</v>
      </c>
      <c r="F81" s="5">
        <v>2909.8554065562112</v>
      </c>
      <c r="G81" s="5">
        <v>2963.4746562296173</v>
      </c>
      <c r="H81" s="5">
        <v>3864.1420325081372</v>
      </c>
      <c r="I81" s="5">
        <v>3681.781227366092</v>
      </c>
      <c r="J81" s="5">
        <v>3717.6961747312421</v>
      </c>
      <c r="K81" s="5">
        <v>3479.932831420037</v>
      </c>
      <c r="L81" s="5">
        <v>6176.1771547854796</v>
      </c>
      <c r="M81" s="5">
        <v>3325.8417502074653</v>
      </c>
      <c r="N81" s="5">
        <v>1871.8323765643956</v>
      </c>
      <c r="O81" s="5">
        <v>2803.4071651527593</v>
      </c>
      <c r="P81" s="5">
        <v>3413.3180046612774</v>
      </c>
      <c r="Q81" s="5">
        <v>3306.3514263573916</v>
      </c>
      <c r="R81" s="5">
        <v>3370.8608134345709</v>
      </c>
      <c r="S81" s="5">
        <v>2832.4409446587206</v>
      </c>
      <c r="T81" s="5">
        <v>2731.8616327734803</v>
      </c>
      <c r="U81" s="5">
        <v>2825.7557861971427</v>
      </c>
      <c r="V81" s="5">
        <v>3145.8341763325361</v>
      </c>
      <c r="W81" s="5">
        <v>3802.7245237615653</v>
      </c>
      <c r="X81" s="5">
        <v>4643.3770147486366</v>
      </c>
      <c r="Y81" s="5">
        <v>4457.1797283812057</v>
      </c>
      <c r="Z81" s="5">
        <v>4600.1172183624367</v>
      </c>
      <c r="AA81" s="5">
        <v>4731.7322197890835</v>
      </c>
      <c r="AB81" s="5">
        <v>4957.0972712719959</v>
      </c>
      <c r="AC81" s="5">
        <v>5044.6925591597883</v>
      </c>
      <c r="AD81" s="5">
        <v>6404.0231905204373</v>
      </c>
      <c r="AE81" s="5">
        <v>11571.282224378399</v>
      </c>
      <c r="AF81" s="5">
        <v>12256.011394255909</v>
      </c>
      <c r="AG81" s="5">
        <v>13095.996159747117</v>
      </c>
      <c r="AH81" s="5">
        <v>13607.144911309177</v>
      </c>
      <c r="AI81" s="5">
        <v>12110.271256779472</v>
      </c>
      <c r="AJ81" s="5">
        <v>12890.326910252566</v>
      </c>
      <c r="AK81" s="5">
        <v>11108.903310451316</v>
      </c>
      <c r="AL81" s="5">
        <v>12701.728147775922</v>
      </c>
      <c r="AM81" s="5">
        <v>9965.8992594505562</v>
      </c>
      <c r="AN81" s="5">
        <v>9207.9252994287745</v>
      </c>
      <c r="AO81" s="5">
        <v>9171.4641941143054</v>
      </c>
      <c r="AP81" s="5">
        <v>9148.0324624984205</v>
      </c>
      <c r="AQ81" s="5">
        <v>9144.3546341049951</v>
      </c>
      <c r="AR81" s="5">
        <v>7433.0859507546429</v>
      </c>
      <c r="AS81" s="5">
        <v>5047.8728271399013</v>
      </c>
      <c r="AT81" s="5">
        <v>5065.1197535041656</v>
      </c>
      <c r="AU81" s="5">
        <v>4796.1959535142832</v>
      </c>
      <c r="AV81" s="5">
        <v>4525.7073925417235</v>
      </c>
      <c r="AW81" s="5">
        <v>4842.5662296092869</v>
      </c>
      <c r="AX81" s="5">
        <v>4746.8550459881972</v>
      </c>
      <c r="AY81" s="5">
        <v>4212.0233885672769</v>
      </c>
      <c r="AZ81" s="5">
        <v>4141.5609623112905</v>
      </c>
      <c r="BA81" s="5">
        <v>4175.1030174832158</v>
      </c>
      <c r="BB81" s="5">
        <v>4302.7128021140788</v>
      </c>
      <c r="BC81" s="5">
        <v>4098.5907422273076</v>
      </c>
      <c r="BD81" s="5">
        <v>4037.4633066185252</v>
      </c>
      <c r="BE81" s="5">
        <v>3440.6604609163142</v>
      </c>
      <c r="BF81" s="5">
        <v>3543.9078420936894</v>
      </c>
      <c r="BG81" s="5">
        <v>3646.7928894447828</v>
      </c>
      <c r="BH81" s="5">
        <v>3830.6185284505591</v>
      </c>
      <c r="BI81" s="5">
        <v>3949.7917604520749</v>
      </c>
      <c r="BJ81" s="6">
        <v>4272.616604953264</v>
      </c>
      <c r="BK81" s="6">
        <v>4245.4690539282537</v>
      </c>
      <c r="BL81" s="6">
        <v>4575.5072497884703</v>
      </c>
      <c r="BM81" s="6">
        <v>4527.5397422808473</v>
      </c>
      <c r="BN81" s="6">
        <v>4462.6230130781087</v>
      </c>
      <c r="BO81" s="6">
        <v>4407.5555549101191</v>
      </c>
      <c r="BP81" s="6">
        <v>4938.4907630048874</v>
      </c>
      <c r="BQ81" s="6">
        <v>5109.0727354095388</v>
      </c>
      <c r="BR81" s="6">
        <v>5059.6636051526111</v>
      </c>
      <c r="BS81" s="6">
        <v>4922.4767980354609</v>
      </c>
      <c r="BT81" s="6">
        <v>5336.9108843996664</v>
      </c>
      <c r="BU81" s="6">
        <v>4748.7674645402767</v>
      </c>
      <c r="BV81" s="6">
        <v>4320.4955148804838</v>
      </c>
      <c r="BW81" s="6">
        <v>4028.6533597006928</v>
      </c>
      <c r="BX81" s="6">
        <v>3968.2966780161114</v>
      </c>
      <c r="BY81" s="6">
        <v>4459.4581499137494</v>
      </c>
      <c r="BZ81" s="6">
        <v>4882.3529989997678</v>
      </c>
      <c r="CA81" s="6">
        <v>3912.7589510944349</v>
      </c>
      <c r="CC81" s="9">
        <f>CC77/CC78</f>
        <v>-0.14438630363814772</v>
      </c>
      <c r="CD81" s="9">
        <f>CD77/CD78</f>
        <v>-0.11189265535233986</v>
      </c>
      <c r="CE81" s="9">
        <f t="shared" ref="CE81:CL81" si="1">CE77/CE78</f>
        <v>-0.53102285087394141</v>
      </c>
      <c r="CF81" s="9">
        <f t="shared" si="1"/>
        <v>-4.9264929880625686E-3</v>
      </c>
      <c r="CG81" s="9">
        <f t="shared" si="1"/>
        <v>-5.7315848221088763E-3</v>
      </c>
      <c r="CH81" s="9">
        <f t="shared" si="1"/>
        <v>2.1092762000519242E-2</v>
      </c>
      <c r="CI81" s="9">
        <f t="shared" si="1"/>
        <v>1.6788291391452385E-2</v>
      </c>
      <c r="CJ81" s="9">
        <f t="shared" si="1"/>
        <v>5.0947252680405224E-2</v>
      </c>
      <c r="CK81" s="9">
        <f t="shared" si="1"/>
        <v>8.1919658689326325E-2</v>
      </c>
      <c r="CL81" s="9">
        <f t="shared" si="1"/>
        <v>3.5103645111134195E-2</v>
      </c>
    </row>
    <row r="82" spans="1:90" x14ac:dyDescent="0.2">
      <c r="A82" t="s">
        <v>131</v>
      </c>
      <c r="C82" t="s">
        <v>132</v>
      </c>
      <c r="D82" t="s">
        <v>6</v>
      </c>
      <c r="E82" t="s">
        <v>6</v>
      </c>
      <c r="F82" t="s">
        <v>6</v>
      </c>
      <c r="G82" t="s">
        <v>6</v>
      </c>
      <c r="H82" s="7">
        <v>58.729147543610296</v>
      </c>
      <c r="I82" t="s">
        <v>6</v>
      </c>
      <c r="J82" s="7">
        <v>40.081603100251002</v>
      </c>
      <c r="K82" s="7">
        <v>29.660605579699332</v>
      </c>
      <c r="L82" s="7">
        <v>34.046668638525666</v>
      </c>
      <c r="M82" t="s">
        <v>6</v>
      </c>
      <c r="N82" t="s">
        <v>6</v>
      </c>
      <c r="O82" t="s">
        <v>6</v>
      </c>
      <c r="P82" s="7">
        <v>55.367290568013033</v>
      </c>
      <c r="Q82" s="7">
        <v>55.049727212669467</v>
      </c>
      <c r="R82" s="7">
        <v>68.338886377486347</v>
      </c>
      <c r="S82" t="s">
        <v>6</v>
      </c>
      <c r="T82" t="s">
        <v>6</v>
      </c>
      <c r="U82" t="s">
        <v>6</v>
      </c>
      <c r="V82" t="s">
        <v>6</v>
      </c>
      <c r="W82" s="7">
        <v>86.944053838847708</v>
      </c>
      <c r="X82" s="7">
        <v>89.995703202412429</v>
      </c>
      <c r="Y82" s="7">
        <v>118.59085781197972</v>
      </c>
      <c r="Z82" s="7">
        <v>108.09626198958793</v>
      </c>
      <c r="AA82" s="7">
        <v>148.20438256686967</v>
      </c>
      <c r="AB82" s="7">
        <v>173.15619134032838</v>
      </c>
      <c r="AC82" s="7">
        <v>200.13613047643346</v>
      </c>
      <c r="AD82" s="7">
        <v>271.7553818495341</v>
      </c>
      <c r="AE82" s="7">
        <v>297.8554720779652</v>
      </c>
      <c r="AF82" s="7">
        <v>302.24714684813813</v>
      </c>
      <c r="AG82" s="7">
        <v>365.18020380060727</v>
      </c>
      <c r="AH82" s="7">
        <v>381.2859243485218</v>
      </c>
      <c r="AI82" s="7">
        <v>413.26756458337968</v>
      </c>
      <c r="AJ82" s="7">
        <v>469.5473268682195</v>
      </c>
      <c r="AK82" s="7">
        <v>284.48604090569432</v>
      </c>
      <c r="AL82" s="7">
        <v>199.12722097290143</v>
      </c>
      <c r="AM82" s="7">
        <v>313.82832239042239</v>
      </c>
      <c r="AN82" s="7">
        <v>337.0186897955187</v>
      </c>
      <c r="AO82" s="7">
        <v>276.85524156263375</v>
      </c>
      <c r="AP82" s="7">
        <v>287.52459230308267</v>
      </c>
      <c r="AQ82" s="7">
        <v>254.84413776638462</v>
      </c>
      <c r="AR82" s="7">
        <v>277.34495746551971</v>
      </c>
      <c r="AS82" s="7">
        <v>376.21610303784661</v>
      </c>
      <c r="AT82" s="7">
        <v>366.39182313568523</v>
      </c>
      <c r="AU82" s="7">
        <v>350.71138233126277</v>
      </c>
      <c r="AV82" s="7">
        <v>274.54998287286526</v>
      </c>
      <c r="AW82" s="7">
        <v>337.68476657936867</v>
      </c>
      <c r="AX82" s="7">
        <v>332.95844115605991</v>
      </c>
      <c r="AY82" s="7">
        <v>326.87527162916189</v>
      </c>
      <c r="AZ82" s="7">
        <v>396.33009407067289</v>
      </c>
      <c r="BA82" s="7">
        <v>489.85350764304525</v>
      </c>
      <c r="BB82" s="5">
        <v>390.93502147267816</v>
      </c>
      <c r="BC82" s="5">
        <v>389.70515588072521</v>
      </c>
      <c r="BD82" s="5">
        <v>446.95470640235891</v>
      </c>
      <c r="BE82" s="5">
        <v>400.26584201279638</v>
      </c>
      <c r="BF82" s="5">
        <v>456.0001233049706</v>
      </c>
      <c r="BG82" s="5">
        <v>434.09794092475079</v>
      </c>
      <c r="BH82" s="5">
        <v>412.52056733099909</v>
      </c>
      <c r="BI82" s="5">
        <v>402.3788244640312</v>
      </c>
      <c r="BJ82" s="5">
        <v>422.05596575612731</v>
      </c>
      <c r="BK82" s="5">
        <v>639.0991269064117</v>
      </c>
      <c r="BL82" s="5">
        <v>500.72024756553361</v>
      </c>
      <c r="BM82" s="5">
        <v>874.85448056796804</v>
      </c>
      <c r="BN82" s="5">
        <v>580.46105186751674</v>
      </c>
      <c r="BO82" s="5">
        <v>685.23994874885682</v>
      </c>
      <c r="BP82" s="5">
        <v>731.86593818349866</v>
      </c>
      <c r="BQ82" s="5">
        <v>767.22258339787959</v>
      </c>
      <c r="BR82" s="5">
        <v>683.93925921426353</v>
      </c>
      <c r="BS82" s="5">
        <v>590.5013994548226</v>
      </c>
      <c r="BT82" s="5">
        <v>637.12492591075033</v>
      </c>
      <c r="BU82" s="5">
        <v>651.91305452736219</v>
      </c>
      <c r="BV82" s="5">
        <v>629.9845600914706</v>
      </c>
      <c r="BW82" s="5">
        <v>536.20440830626274</v>
      </c>
      <c r="BX82" s="5">
        <v>559.21073377714754</v>
      </c>
      <c r="BY82" s="5">
        <v>439.43140654745554</v>
      </c>
      <c r="BZ82" s="5">
        <v>588.81640368868796</v>
      </c>
      <c r="CA82" s="5">
        <v>628.67438588272751</v>
      </c>
    </row>
    <row r="83" spans="1:90" x14ac:dyDescent="0.2">
      <c r="A83" t="s">
        <v>133</v>
      </c>
      <c r="C83" t="s">
        <v>5</v>
      </c>
      <c r="D83" t="s">
        <v>6</v>
      </c>
      <c r="E83" t="s">
        <v>6</v>
      </c>
      <c r="F83" t="s">
        <v>6</v>
      </c>
      <c r="G83" t="s">
        <v>6</v>
      </c>
      <c r="H83" s="7">
        <v>1702.3131212465239</v>
      </c>
      <c r="I83" t="s">
        <v>6</v>
      </c>
      <c r="J83" t="s">
        <v>6</v>
      </c>
      <c r="K83" t="s">
        <v>6</v>
      </c>
      <c r="L83" s="7">
        <v>2567.8223713189427</v>
      </c>
      <c r="M83" s="7">
        <v>2569.8967593722546</v>
      </c>
      <c r="N83" s="7">
        <v>2038.981773038759</v>
      </c>
      <c r="O83" s="7">
        <v>1871.4398203243968</v>
      </c>
      <c r="P83" s="7">
        <v>1745.6973148705254</v>
      </c>
      <c r="Q83" s="7">
        <v>1858.3263918756863</v>
      </c>
      <c r="R83" s="7">
        <v>1823.8314477747176</v>
      </c>
      <c r="S83" s="7">
        <v>1702.5714388673505</v>
      </c>
      <c r="T83" s="7">
        <v>2854.6127909770994</v>
      </c>
      <c r="U83" s="7">
        <v>2582.2401635959445</v>
      </c>
      <c r="V83" s="7">
        <v>2484.2316929881417</v>
      </c>
      <c r="W83" s="7">
        <v>2577.6003001380022</v>
      </c>
      <c r="X83" s="7">
        <v>2716.2554346681341</v>
      </c>
      <c r="Y83" s="7">
        <v>3230.6754453981921</v>
      </c>
      <c r="Z83" s="7">
        <v>3219.609301984668</v>
      </c>
      <c r="AA83" s="7">
        <v>4861.8498124374746</v>
      </c>
      <c r="AB83" s="7">
        <v>5522.1690264478902</v>
      </c>
      <c r="AC83" s="7">
        <v>5783.2505109394124</v>
      </c>
      <c r="AD83" s="7">
        <v>6345.093707903965</v>
      </c>
      <c r="AE83" s="7">
        <v>7417.6308226342508</v>
      </c>
      <c r="AF83" s="7">
        <v>6786.2575295176439</v>
      </c>
      <c r="AG83" s="7">
        <v>6744.4819452864458</v>
      </c>
      <c r="AH83" s="7">
        <v>7041.0657747569185</v>
      </c>
      <c r="AI83" s="7">
        <v>6178.8342032920291</v>
      </c>
      <c r="AJ83" s="7">
        <v>6030.3309991086762</v>
      </c>
      <c r="AK83" s="7">
        <v>6978.5645560104658</v>
      </c>
      <c r="AL83" s="7">
        <v>6557.6094992384387</v>
      </c>
      <c r="AM83" s="7">
        <v>6949.2324151504572</v>
      </c>
      <c r="AN83" s="7">
        <v>9546.4123041667899</v>
      </c>
      <c r="AO83" s="7">
        <v>8732.6477025687527</v>
      </c>
      <c r="AP83" s="7">
        <v>11976.695402346162</v>
      </c>
      <c r="AQ83" s="7">
        <v>14926.94966898639</v>
      </c>
      <c r="AR83" s="7">
        <v>15709.224225182727</v>
      </c>
      <c r="AS83" s="7">
        <v>13095.846666372023</v>
      </c>
      <c r="AT83" s="7">
        <v>10606.286569519998</v>
      </c>
      <c r="AU83" s="7">
        <v>8350.0085472622413</v>
      </c>
      <c r="AV83" s="7">
        <v>11472.813757301175</v>
      </c>
      <c r="AW83" s="7">
        <v>13659.063350658384</v>
      </c>
      <c r="AX83" s="5">
        <v>15357.300789298431</v>
      </c>
      <c r="AY83" s="5">
        <v>14281.463588298713</v>
      </c>
      <c r="AZ83" s="5">
        <v>14183.466809061818</v>
      </c>
      <c r="BA83" s="5">
        <v>15245.852166997423</v>
      </c>
      <c r="BB83" s="5">
        <v>15618.00848671866</v>
      </c>
      <c r="BC83" s="5">
        <v>16917.614914487065</v>
      </c>
      <c r="BD83" s="5">
        <v>19595.292561677976</v>
      </c>
      <c r="BE83" s="5">
        <v>19856.891334796255</v>
      </c>
      <c r="BF83" s="5">
        <v>15840.919334973978</v>
      </c>
      <c r="BG83" s="5">
        <v>16459.420887812619</v>
      </c>
      <c r="BH83" s="5">
        <v>17808.96276447588</v>
      </c>
      <c r="BI83" s="5">
        <v>18440.460784369461</v>
      </c>
      <c r="BJ83" s="5">
        <v>19887.149212924571</v>
      </c>
      <c r="BK83" s="5">
        <v>21155.798511894358</v>
      </c>
      <c r="BL83" s="5">
        <v>23067.557266410684</v>
      </c>
      <c r="BM83" s="5">
        <v>25616.387469941128</v>
      </c>
      <c r="BN83" s="5">
        <v>24812.88117697035</v>
      </c>
      <c r="BO83" s="5">
        <v>25289.994493053211</v>
      </c>
      <c r="BP83" s="5">
        <v>25427.620488159337</v>
      </c>
      <c r="BQ83" s="5">
        <v>25936.09574118138</v>
      </c>
      <c r="BR83" s="5">
        <v>25335.047912644604</v>
      </c>
      <c r="BS83" s="5">
        <v>24048.911728507657</v>
      </c>
      <c r="BT83" s="5">
        <v>25616.549434215292</v>
      </c>
      <c r="BU83" s="5">
        <v>27316.349634772199</v>
      </c>
      <c r="BV83" s="5">
        <v>26138.502621233234</v>
      </c>
      <c r="BW83" s="5">
        <v>25021.940974065787</v>
      </c>
      <c r="BX83" s="5">
        <v>23698.822513864965</v>
      </c>
      <c r="BY83" s="5">
        <v>22215.248419310999</v>
      </c>
      <c r="BZ83" s="5">
        <v>21788.291072488297</v>
      </c>
      <c r="CA83" s="5">
        <v>21692.955020163023</v>
      </c>
      <c r="CB83" t="s">
        <v>318</v>
      </c>
      <c r="CC83" s="9">
        <f>AVERAGE(CC81:CL81)</f>
        <v>-5.9210827780176299E-2</v>
      </c>
    </row>
    <row r="84" spans="1:90" x14ac:dyDescent="0.2">
      <c r="A84" t="s">
        <v>134</v>
      </c>
      <c r="C84" t="s">
        <v>135</v>
      </c>
      <c r="D84" t="s">
        <v>6</v>
      </c>
      <c r="E84" t="s">
        <v>6</v>
      </c>
      <c r="F84" t="s">
        <v>6</v>
      </c>
      <c r="G84" t="s">
        <v>6</v>
      </c>
      <c r="H84" s="5">
        <v>220.62869819021765</v>
      </c>
      <c r="I84" s="5">
        <v>120.86661569641402</v>
      </c>
      <c r="J84" s="5">
        <v>170.0151127687156</v>
      </c>
      <c r="K84" s="5">
        <v>215.90793393727751</v>
      </c>
      <c r="L84" s="5">
        <v>217.31786943586476</v>
      </c>
      <c r="M84" s="5">
        <v>239.59950823717435</v>
      </c>
      <c r="N84" s="5">
        <v>182.92841680864643</v>
      </c>
      <c r="O84" s="5">
        <v>253.66681315008799</v>
      </c>
      <c r="P84" s="5">
        <v>299.29353617459662</v>
      </c>
      <c r="Q84" s="5">
        <v>269.22150388975706</v>
      </c>
      <c r="R84" s="5">
        <v>267.85710580294875</v>
      </c>
      <c r="S84" s="5">
        <v>255.97544514130436</v>
      </c>
      <c r="T84" s="5">
        <v>305.07588343457195</v>
      </c>
      <c r="U84" s="5">
        <v>336.18219220782078</v>
      </c>
      <c r="V84" s="5">
        <v>366.35838342022703</v>
      </c>
      <c r="W84" s="5">
        <v>373.10387990147518</v>
      </c>
      <c r="X84" s="5">
        <v>370.61958746990769</v>
      </c>
      <c r="Y84" s="5">
        <v>791.10263122942729</v>
      </c>
      <c r="Z84" s="5">
        <v>1197.5439113125087</v>
      </c>
      <c r="AA84" s="5">
        <v>1317.4209424687642</v>
      </c>
      <c r="AB84" s="5">
        <v>1346.2347850356966</v>
      </c>
      <c r="AC84" s="5">
        <v>2020.5613991169691</v>
      </c>
      <c r="AD84" s="5">
        <v>1555.4560282393916</v>
      </c>
      <c r="AE84" s="5">
        <v>1634.1119189587578</v>
      </c>
      <c r="AF84" s="5">
        <v>2163.1826843429085</v>
      </c>
      <c r="AG84" s="5">
        <v>2545.0748165110472</v>
      </c>
      <c r="AH84" s="5">
        <v>2844.5048984403338</v>
      </c>
      <c r="AI84" s="5">
        <v>3000.3064682330432</v>
      </c>
      <c r="AJ84" s="5">
        <v>3215.7762635642371</v>
      </c>
      <c r="AK84" s="5">
        <v>3598.7674489834581</v>
      </c>
      <c r="AL84" s="5">
        <v>3033.8410388639227</v>
      </c>
      <c r="AM84" s="5">
        <v>3088.5336590164593</v>
      </c>
      <c r="AN84" s="5">
        <v>3003.0853100042787</v>
      </c>
      <c r="AO84" s="5">
        <v>2953.1343742074</v>
      </c>
      <c r="AP84" s="5">
        <v>2933.1049024568511</v>
      </c>
      <c r="AQ84" s="5">
        <v>2447.6352578519331</v>
      </c>
      <c r="AR84" s="5">
        <v>2253.7556192253928</v>
      </c>
      <c r="AS84" s="5">
        <v>2130.196991060413</v>
      </c>
      <c r="AT84" s="5">
        <v>2016.0891445037189</v>
      </c>
      <c r="AU84" s="5">
        <v>2042.023790498625</v>
      </c>
      <c r="AV84" s="5">
        <v>2230.3779013454</v>
      </c>
      <c r="AW84" s="5">
        <v>2362.6370741671553</v>
      </c>
      <c r="AX84" s="5">
        <v>2570.2501844772619</v>
      </c>
      <c r="AY84" s="5">
        <v>2591.1254745263009</v>
      </c>
      <c r="AZ84" s="5">
        <v>2765.4401440618599</v>
      </c>
      <c r="BA84" s="5">
        <v>2876.868609240275</v>
      </c>
      <c r="BB84" s="5">
        <v>2976.3835383826718</v>
      </c>
      <c r="BC84" s="5">
        <v>3129.5499952362652</v>
      </c>
      <c r="BD84" s="5">
        <v>3200.0760206869822</v>
      </c>
      <c r="BE84" s="5">
        <v>3184.6914000641191</v>
      </c>
      <c r="BF84" s="5">
        <v>3612.568272512447</v>
      </c>
      <c r="BG84" s="5">
        <v>4095.4156410412911</v>
      </c>
      <c r="BH84" s="5">
        <v>4210.6568714728483</v>
      </c>
      <c r="BI84" s="5">
        <v>4797.3797442920095</v>
      </c>
      <c r="BJ84" s="5">
        <v>4723.4067122434581</v>
      </c>
      <c r="BK84" s="5">
        <v>5013.6995357204978</v>
      </c>
      <c r="BL84" s="5">
        <v>4508.6506285066862</v>
      </c>
      <c r="BM84" s="5">
        <v>5072.8227391544915</v>
      </c>
      <c r="BN84" s="5">
        <v>5406.7269630227056</v>
      </c>
      <c r="BO84" s="5">
        <v>5074.4482728752109</v>
      </c>
      <c r="BP84" s="5">
        <v>5134.6549113348883</v>
      </c>
      <c r="BQ84" s="5">
        <v>5210.4293910582273</v>
      </c>
      <c r="BR84" s="5">
        <v>5197.0041566459913</v>
      </c>
      <c r="BS84" s="5">
        <v>5368.1208159303014</v>
      </c>
      <c r="BT84" s="5">
        <v>5629.5434413795047</v>
      </c>
      <c r="BU84" s="5">
        <v>5617.4696547856593</v>
      </c>
      <c r="BV84" s="5">
        <v>5614.8360789265662</v>
      </c>
      <c r="BW84" s="5">
        <v>6212.43882911111</v>
      </c>
      <c r="BX84" s="5">
        <v>5642.6466010588902</v>
      </c>
      <c r="BY84" s="5">
        <v>5206.7854745113618</v>
      </c>
      <c r="BZ84" s="5">
        <v>5470.0785689041841</v>
      </c>
      <c r="CA84" s="5">
        <v>5521.433592624322</v>
      </c>
    </row>
    <row r="85" spans="1:90" x14ac:dyDescent="0.2">
      <c r="A85" t="s">
        <v>136</v>
      </c>
      <c r="C85" t="s">
        <v>137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t="s">
        <v>6</v>
      </c>
      <c r="M85" s="7">
        <v>414.56008187881088</v>
      </c>
      <c r="N85" s="7">
        <v>340.53308765972452</v>
      </c>
      <c r="O85" s="7">
        <v>374.59263981206635</v>
      </c>
      <c r="P85" s="7">
        <v>447.52283326361874</v>
      </c>
      <c r="Q85" s="7">
        <v>694.92635943937285</v>
      </c>
      <c r="R85" s="7">
        <v>793.83557487853864</v>
      </c>
      <c r="S85" s="7">
        <v>757.84450190423615</v>
      </c>
      <c r="T85" s="7">
        <v>799.11887412465637</v>
      </c>
      <c r="U85" s="7">
        <v>822.22323601592814</v>
      </c>
      <c r="V85" s="7">
        <v>843.70787463208626</v>
      </c>
      <c r="W85" s="7">
        <v>697.30562786061148</v>
      </c>
      <c r="X85" s="7">
        <v>646.13149883329208</v>
      </c>
      <c r="Y85" s="5">
        <v>795.23346914900287</v>
      </c>
      <c r="Z85" s="5">
        <v>1250.3898433052334</v>
      </c>
      <c r="AA85" s="5">
        <v>780.25677459864585</v>
      </c>
      <c r="AB85" s="5">
        <v>709.24567432812376</v>
      </c>
      <c r="AC85" s="5">
        <v>703.65920520897998</v>
      </c>
      <c r="AD85" s="5">
        <v>792.85535202320705</v>
      </c>
      <c r="AE85" s="5">
        <v>744.33076309614705</v>
      </c>
      <c r="AF85" s="5">
        <v>721.21144956445551</v>
      </c>
      <c r="AG85" s="5">
        <v>841.02537023699824</v>
      </c>
      <c r="AH85" s="5">
        <v>953.49718736554837</v>
      </c>
      <c r="AI85" s="5">
        <v>1094.3546936372131</v>
      </c>
      <c r="AJ85" s="5">
        <v>1033.5113070247094</v>
      </c>
      <c r="AK85" s="5">
        <v>1020.4603988050278</v>
      </c>
      <c r="AL85" s="5">
        <v>1350.1312566799843</v>
      </c>
      <c r="AM85" s="5">
        <v>1537.7979994812461</v>
      </c>
      <c r="AN85" s="5">
        <v>1409.6904899237086</v>
      </c>
      <c r="AO85" s="5">
        <v>1534.6773134564125</v>
      </c>
      <c r="AP85" s="5">
        <v>1650.1255724393545</v>
      </c>
      <c r="AQ85" s="5">
        <v>1898.9819612466697</v>
      </c>
      <c r="AR85" s="5">
        <v>1935.6163972584989</v>
      </c>
      <c r="AS85" s="5">
        <v>2024.0438258349673</v>
      </c>
      <c r="AT85" s="5">
        <v>2003.9993875984721</v>
      </c>
      <c r="AU85" s="5">
        <v>2288.578433497511</v>
      </c>
      <c r="AV85" s="5">
        <v>2947.7942676310968</v>
      </c>
      <c r="AW85" s="5">
        <v>3079.416974553325</v>
      </c>
      <c r="AX85" s="5">
        <v>3595.2746255014267</v>
      </c>
      <c r="AY85" s="5">
        <v>5573.0173353974415</v>
      </c>
      <c r="AZ85" s="5">
        <v>3582.9578647688595</v>
      </c>
      <c r="BA85" s="5">
        <v>4279.9016950521409</v>
      </c>
      <c r="BB85" s="5">
        <v>4554.0231639631293</v>
      </c>
      <c r="BC85" s="5">
        <v>4621.9922861977839</v>
      </c>
      <c r="BD85" s="5">
        <v>5083.3521022312952</v>
      </c>
      <c r="BE85" s="5">
        <v>5337.5744319313853</v>
      </c>
      <c r="BF85" s="5">
        <v>5606.9432073950893</v>
      </c>
      <c r="BG85" s="5">
        <v>5984.6792130171052</v>
      </c>
      <c r="BH85" s="5">
        <v>6092.7144252259523</v>
      </c>
      <c r="BI85" s="5">
        <v>6442.2217478940338</v>
      </c>
      <c r="BJ85" s="5">
        <v>6834.2020697258931</v>
      </c>
      <c r="BK85" s="5">
        <v>8078.2308735814513</v>
      </c>
      <c r="BL85" s="5">
        <v>8486.324805521188</v>
      </c>
      <c r="BM85" s="5">
        <v>8421.6527247511276</v>
      </c>
      <c r="BN85" s="5">
        <v>7839.404624070522</v>
      </c>
      <c r="BO85" s="5">
        <v>8391.2318897842688</v>
      </c>
      <c r="BP85" s="5">
        <v>9137.2109168221486</v>
      </c>
      <c r="BQ85" s="5">
        <v>9011.2849466428834</v>
      </c>
      <c r="BR85" s="5">
        <v>9058.1077574321171</v>
      </c>
      <c r="BS85" s="5">
        <v>8930.8468061140848</v>
      </c>
      <c r="BT85" s="5">
        <v>9530.2392956897111</v>
      </c>
      <c r="BU85" s="5">
        <v>9366.2695089082499</v>
      </c>
      <c r="BV85" s="5">
        <v>10069.408705030773</v>
      </c>
      <c r="BW85" s="5">
        <v>10393.788496147814</v>
      </c>
      <c r="BX85" s="5">
        <v>10846.352571311509</v>
      </c>
      <c r="BY85" s="5">
        <v>10622.124373460249</v>
      </c>
      <c r="BZ85" s="5">
        <v>10779.238341591623</v>
      </c>
      <c r="CA85" s="5">
        <v>12246.466445046581</v>
      </c>
      <c r="CC85">
        <f>CC78/CC77</f>
        <v>-6.9258646755452649</v>
      </c>
      <c r="CD85">
        <f t="shared" ref="CD85:CK85" si="2">CD78/CD77</f>
        <v>-8.9371370877837357</v>
      </c>
      <c r="CE85">
        <f t="shared" si="2"/>
        <v>-1.8831581321862705</v>
      </c>
      <c r="CF85">
        <f t="shared" si="2"/>
        <v>-202.9841516923112</v>
      </c>
      <c r="CG85">
        <f t="shared" si="2"/>
        <v>-174.47181382409698</v>
      </c>
      <c r="CH85">
        <f t="shared" si="2"/>
        <v>47.409628002979552</v>
      </c>
      <c r="CI85">
        <f t="shared" si="2"/>
        <v>59.565323038718603</v>
      </c>
      <c r="CJ85">
        <f t="shared" si="2"/>
        <v>19.628143764160399</v>
      </c>
      <c r="CK85">
        <f t="shared" si="2"/>
        <v>12.207082109465556</v>
      </c>
      <c r="CL85">
        <f>CL78/CL77</f>
        <v>28.487070127165214</v>
      </c>
    </row>
    <row r="86" spans="1:90" x14ac:dyDescent="0.2">
      <c r="A86" t="s">
        <v>138</v>
      </c>
      <c r="C86" t="s">
        <v>139</v>
      </c>
      <c r="D86" t="s">
        <v>6</v>
      </c>
      <c r="E86" t="s">
        <v>6</v>
      </c>
      <c r="F86" t="s">
        <v>6</v>
      </c>
      <c r="G86" t="s">
        <v>6</v>
      </c>
      <c r="H86" s="5">
        <v>806.37253957615019</v>
      </c>
      <c r="I86" t="s">
        <v>6</v>
      </c>
      <c r="J86" t="s">
        <v>6</v>
      </c>
      <c r="K86" t="s">
        <v>6</v>
      </c>
      <c r="L86" s="5">
        <v>1274.6783525957283</v>
      </c>
      <c r="M86" s="5">
        <v>1223.4972451922849</v>
      </c>
      <c r="N86" s="5">
        <v>1070.8440049986614</v>
      </c>
      <c r="O86" s="5">
        <v>1436.7721551976738</v>
      </c>
      <c r="P86" s="5">
        <v>1379.811174651315</v>
      </c>
      <c r="Q86" s="5">
        <v>1314.2284771622415</v>
      </c>
      <c r="R86" s="5">
        <v>1159.6453286635528</v>
      </c>
      <c r="S86" s="5">
        <v>1349.1450427490536</v>
      </c>
      <c r="T86" s="5">
        <v>1510.8016108085724</v>
      </c>
      <c r="U86" s="5">
        <v>1397.3106572167717</v>
      </c>
      <c r="V86" s="5">
        <v>1486.1352144019504</v>
      </c>
      <c r="W86" s="5">
        <v>1649.0408966799419</v>
      </c>
      <c r="X86" s="5">
        <v>2101.9081937258507</v>
      </c>
      <c r="Y86" s="5">
        <v>2146.8029664606961</v>
      </c>
      <c r="Z86" s="5">
        <v>1915.0379958089138</v>
      </c>
      <c r="AA86" s="5">
        <v>2229.3682393927174</v>
      </c>
      <c r="AB86" s="5">
        <v>2602.0388103124433</v>
      </c>
      <c r="AC86" s="5">
        <v>3207.8395135850237</v>
      </c>
      <c r="AD86" s="5">
        <v>3791.7928896814233</v>
      </c>
      <c r="AE86" s="5">
        <v>3930.0191485056998</v>
      </c>
      <c r="AF86" s="5">
        <v>6092.9891167714968</v>
      </c>
      <c r="AG86" s="5">
        <v>4365.7734099210438</v>
      </c>
      <c r="AH86" s="5">
        <v>4490.4349444191885</v>
      </c>
      <c r="AI86" s="5">
        <v>4463.2823964363688</v>
      </c>
      <c r="AJ86" s="5">
        <v>4293.5685497330232</v>
      </c>
      <c r="AK86" s="5">
        <v>4340.7807292820798</v>
      </c>
      <c r="AL86" s="5">
        <v>3752.5203544969713</v>
      </c>
      <c r="AM86" s="5">
        <v>3911.646736090669</v>
      </c>
      <c r="AN86" s="5">
        <v>5002.3586738004597</v>
      </c>
      <c r="AO86" s="5">
        <v>5231.2095003341929</v>
      </c>
      <c r="AP86" s="5">
        <v>5608.1815670943615</v>
      </c>
      <c r="AQ86" s="5">
        <v>5999.0866419475205</v>
      </c>
      <c r="AR86" s="5">
        <v>5689.3679905564823</v>
      </c>
      <c r="AS86" s="5">
        <v>5971.9830424105576</v>
      </c>
      <c r="AT86" s="5">
        <v>5658.6723696432637</v>
      </c>
      <c r="AU86" s="5">
        <v>5426.8766663532979</v>
      </c>
      <c r="AV86" s="5">
        <v>6124.7713856376031</v>
      </c>
      <c r="AW86" s="5">
        <v>5800.1315735508024</v>
      </c>
      <c r="AX86" s="5">
        <v>8994.225011806182</v>
      </c>
      <c r="AY86" s="5">
        <v>6377.1080823234543</v>
      </c>
      <c r="AZ86" s="5">
        <v>5812.670855690827</v>
      </c>
      <c r="BA86" s="5">
        <v>4698.8805503208068</v>
      </c>
      <c r="BB86" s="5">
        <v>1664.0994466912198</v>
      </c>
      <c r="BC86" s="5">
        <v>762.60497610124355</v>
      </c>
      <c r="BD86" s="5">
        <v>799.62917523460817</v>
      </c>
      <c r="BE86" s="5">
        <v>934.88800034873907</v>
      </c>
      <c r="BF86" s="5">
        <v>1267.5731297246539</v>
      </c>
      <c r="BG86" s="5">
        <v>1185.3148120004414</v>
      </c>
      <c r="BH86" s="5">
        <v>1558.8619913287373</v>
      </c>
      <c r="BI86" s="5">
        <v>1502.7538140142321</v>
      </c>
      <c r="BJ86" s="5">
        <v>2026.1006232062873</v>
      </c>
      <c r="BK86" s="5">
        <v>2348.4962917793778</v>
      </c>
      <c r="BL86" s="5">
        <v>2644.3652447538448</v>
      </c>
      <c r="BM86" s="5">
        <v>2743.5811926217457</v>
      </c>
      <c r="BN86" s="5">
        <v>3077.1747883029661</v>
      </c>
      <c r="BO86" s="5">
        <v>3090.1749926080065</v>
      </c>
      <c r="BP86" s="7">
        <v>3177.9471248482882</v>
      </c>
      <c r="BQ86" s="5">
        <v>3124.6818031123516</v>
      </c>
      <c r="BR86" s="5">
        <v>2801.6055115468703</v>
      </c>
      <c r="BS86" s="5">
        <v>2664.6193047735683</v>
      </c>
      <c r="BT86" s="5">
        <v>2600.2250353137761</v>
      </c>
      <c r="BU86" s="5">
        <v>2697.8125257259212</v>
      </c>
      <c r="BV86" s="5">
        <v>2475.985227589169</v>
      </c>
      <c r="BW86" s="5">
        <v>2495.3118444189495</v>
      </c>
      <c r="BX86" s="5">
        <v>2547.5251022779894</v>
      </c>
      <c r="BY86" s="5">
        <v>2643.7883177323888</v>
      </c>
      <c r="BZ86" s="5">
        <v>2692</v>
      </c>
      <c r="CA86" s="5">
        <v>2648.4009134513649</v>
      </c>
    </row>
    <row r="87" spans="1:90" x14ac:dyDescent="0.2">
      <c r="A87" t="s">
        <v>140</v>
      </c>
      <c r="C87" t="s">
        <v>141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s="5">
        <v>19.16535327709936</v>
      </c>
      <c r="AC87" s="5">
        <v>38.131429892453994</v>
      </c>
      <c r="AD87" s="5">
        <v>109.0755398011227</v>
      </c>
      <c r="AE87" s="5">
        <v>113.42072211021653</v>
      </c>
      <c r="AF87" s="5">
        <v>74.843759732773975</v>
      </c>
      <c r="AG87" s="5">
        <v>46.411624401691533</v>
      </c>
      <c r="AH87" s="5">
        <v>39.237021052566391</v>
      </c>
      <c r="AI87" s="5">
        <v>43.586334233279622</v>
      </c>
      <c r="AJ87" s="5">
        <v>40.254330084627497</v>
      </c>
      <c r="AK87" s="5">
        <v>39.292186801523826</v>
      </c>
      <c r="AL87" s="5">
        <v>30.467849315055417</v>
      </c>
      <c r="AM87" s="5">
        <v>29.18735407158562</v>
      </c>
      <c r="AN87" s="5">
        <v>52.911727793602367</v>
      </c>
      <c r="AO87" s="5">
        <v>35.180556572011909</v>
      </c>
      <c r="AP87" s="5">
        <v>23.821223026954126</v>
      </c>
      <c r="AQ87" s="5">
        <v>18.112820241425212</v>
      </c>
      <c r="AR87" s="5">
        <v>14.189559187183322</v>
      </c>
      <c r="AS87" s="5">
        <v>7.4908195644170545</v>
      </c>
      <c r="AT87" s="5">
        <v>5.9034911905899694</v>
      </c>
      <c r="AU87" s="5">
        <v>9.2966420781374683</v>
      </c>
      <c r="AV87" s="5">
        <v>10.640221822382335</v>
      </c>
      <c r="AW87" s="5">
        <v>12.772662690765442</v>
      </c>
      <c r="AX87" s="5">
        <v>12.12614603926254</v>
      </c>
      <c r="AY87" s="5">
        <v>10.932099901633928</v>
      </c>
      <c r="AZ87" t="s">
        <v>6</v>
      </c>
      <c r="BA87" t="s">
        <v>6</v>
      </c>
      <c r="BB87" t="s">
        <v>6</v>
      </c>
      <c r="BC87" s="7">
        <v>26.020421617004644</v>
      </c>
      <c r="BD87" s="7">
        <v>29.72720780513167</v>
      </c>
      <c r="BE87" s="7">
        <v>33.283216776087251</v>
      </c>
      <c r="BF87" s="7">
        <v>31.345548929040319</v>
      </c>
      <c r="BG87" s="7">
        <v>41.476620321390563</v>
      </c>
      <c r="BH87" s="7">
        <v>32.691936526108684</v>
      </c>
      <c r="BI87" s="7">
        <v>31.805555939244289</v>
      </c>
      <c r="BJ87" s="7">
        <v>37.31132934324333</v>
      </c>
      <c r="BK87" s="5">
        <v>42.45205709792846</v>
      </c>
      <c r="BL87" s="5">
        <v>42.022887922605136</v>
      </c>
      <c r="BM87" s="5">
        <v>40.473382454430407</v>
      </c>
      <c r="BN87" s="5">
        <v>40.294312866503532</v>
      </c>
      <c r="BO87" s="5">
        <v>40.787635607637618</v>
      </c>
      <c r="BP87" s="5">
        <v>42.173557062982844</v>
      </c>
      <c r="BQ87" s="5">
        <v>46.953572207184891</v>
      </c>
      <c r="BR87" s="5">
        <v>56.074994328882738</v>
      </c>
      <c r="BS87" s="5">
        <v>61.964600292907974</v>
      </c>
      <c r="BT87" s="5">
        <v>69.944346126778839</v>
      </c>
      <c r="BU87" s="5">
        <v>72.136814812664582</v>
      </c>
      <c r="BV87" s="5">
        <v>77.171171465203102</v>
      </c>
      <c r="BW87" s="5">
        <v>87.207939198083949</v>
      </c>
      <c r="BX87" s="5">
        <v>83.084206211259257</v>
      </c>
      <c r="BY87" s="5">
        <v>90.25254188623758</v>
      </c>
      <c r="BZ87" s="5">
        <v>109.67487253633665</v>
      </c>
      <c r="CA87" s="5">
        <v>195.52531524539015</v>
      </c>
      <c r="CB87" t="s">
        <v>319</v>
      </c>
      <c r="CC87">
        <f>AVERAGE(CC85:CL85)</f>
        <v>-22.79048783694342</v>
      </c>
    </row>
    <row r="88" spans="1:90" x14ac:dyDescent="0.2">
      <c r="A88" t="s">
        <v>142</v>
      </c>
      <c r="C88" t="s">
        <v>143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s="7">
        <v>51.345070434023178</v>
      </c>
      <c r="P88" s="7">
        <v>44.94931357118714</v>
      </c>
      <c r="Q88" s="7">
        <v>51.037927853683776</v>
      </c>
      <c r="R88" s="7">
        <v>55.618808726437564</v>
      </c>
      <c r="S88" s="7">
        <v>58.480686504160381</v>
      </c>
      <c r="T88" s="7">
        <v>67.002005601302457</v>
      </c>
      <c r="U88" s="7">
        <v>75.77703553723444</v>
      </c>
      <c r="V88" s="7">
        <v>82.170077874260571</v>
      </c>
      <c r="W88" s="7">
        <v>90.794526424701843</v>
      </c>
      <c r="X88" s="7">
        <v>95.399473015236467</v>
      </c>
      <c r="Y88" s="7">
        <v>104.09623215715121</v>
      </c>
      <c r="Z88" s="7">
        <v>106.54300943927036</v>
      </c>
      <c r="AA88" s="7">
        <v>135.68486223016237</v>
      </c>
      <c r="AB88" s="7">
        <v>128.89797735143389</v>
      </c>
      <c r="AC88" s="7">
        <v>104.65162479632812</v>
      </c>
      <c r="AD88" s="7">
        <v>135.70243189445179</v>
      </c>
      <c r="AE88" s="7">
        <v>139.65384586622096</v>
      </c>
      <c r="AF88" s="7">
        <v>151.53996003469322</v>
      </c>
      <c r="AG88" s="7">
        <v>171.58205799026763</v>
      </c>
      <c r="AH88" s="7">
        <v>122.3410834988846</v>
      </c>
      <c r="AI88" s="7">
        <v>140.48226711612389</v>
      </c>
      <c r="AJ88" s="7">
        <v>183.67284857198914</v>
      </c>
      <c r="AK88" s="7">
        <v>275.48243000473281</v>
      </c>
      <c r="AL88" s="7">
        <v>258.26220008574239</v>
      </c>
      <c r="AM88" s="7">
        <v>267.78997511525472</v>
      </c>
      <c r="AN88" s="7">
        <v>298.70013743244238</v>
      </c>
      <c r="AO88" s="7">
        <v>303.12669886961953</v>
      </c>
      <c r="AP88" s="7">
        <v>246.47113656163629</v>
      </c>
      <c r="AQ88" s="7">
        <v>306.81715553057688</v>
      </c>
      <c r="AR88" s="7">
        <v>256.34317997530923</v>
      </c>
      <c r="AS88" s="7">
        <v>248.67449130198068</v>
      </c>
      <c r="AT88" s="7">
        <v>379.79462966616694</v>
      </c>
      <c r="AU88" s="7">
        <v>320.2672925155735</v>
      </c>
      <c r="AV88" s="7">
        <v>293.41515099799216</v>
      </c>
      <c r="AW88" s="7">
        <v>271.07765729349762</v>
      </c>
      <c r="AX88" s="7">
        <v>316.36442485000839</v>
      </c>
      <c r="AY88" s="7">
        <v>294.72551421165923</v>
      </c>
      <c r="AZ88" s="7">
        <v>242.63858400839609</v>
      </c>
      <c r="BA88" s="5">
        <v>225.74814971272517</v>
      </c>
      <c r="BB88" s="5">
        <v>202.46828622360849</v>
      </c>
      <c r="BC88" s="5">
        <v>196.42394608811057</v>
      </c>
      <c r="BD88" s="5">
        <v>178.59064204131036</v>
      </c>
      <c r="BE88" s="5">
        <v>172.23569416516199</v>
      </c>
      <c r="BF88" s="5">
        <v>153.97725722085099</v>
      </c>
      <c r="BG88" s="5">
        <v>182.55187693849257</v>
      </c>
      <c r="BH88" s="5">
        <v>162.09265913206994</v>
      </c>
      <c r="BI88" s="5">
        <v>185.5784532449033</v>
      </c>
      <c r="BJ88" s="5">
        <v>190.43337464739133</v>
      </c>
      <c r="BK88" s="5">
        <v>190.36598475801983</v>
      </c>
      <c r="BL88" s="5">
        <v>211.58039329503555</v>
      </c>
      <c r="BM88" s="5">
        <v>234.14908098209875</v>
      </c>
      <c r="BN88" s="5">
        <v>266.77036421774892</v>
      </c>
      <c r="BO88" s="5">
        <v>305.75961804988629</v>
      </c>
      <c r="BP88" s="5">
        <v>336.33099750223306</v>
      </c>
      <c r="BQ88" s="5">
        <v>354.90886043019509</v>
      </c>
      <c r="BR88" s="5">
        <v>389.49928294550631</v>
      </c>
      <c r="BS88" s="5">
        <v>361.9675784405955</v>
      </c>
      <c r="BT88" s="5">
        <v>351.16284447777053</v>
      </c>
      <c r="BU88" s="5">
        <v>382.65892928546231</v>
      </c>
      <c r="BV88" s="5">
        <v>387.29613385263531</v>
      </c>
      <c r="BW88" s="5">
        <v>407.05367093182582</v>
      </c>
      <c r="BX88" s="5">
        <v>391.55864023673763</v>
      </c>
      <c r="BY88" s="5">
        <v>366.33176958161192</v>
      </c>
      <c r="BZ88" s="5">
        <v>397.57948536255941</v>
      </c>
      <c r="CA88" s="5">
        <v>413.37544327081633</v>
      </c>
    </row>
    <row r="89" spans="1:90" x14ac:dyDescent="0.2">
      <c r="A89" t="s">
        <v>144</v>
      </c>
      <c r="C89" t="s">
        <v>145</v>
      </c>
      <c r="D89" s="7">
        <v>881.74836598171146</v>
      </c>
      <c r="E89" s="7">
        <v>957.54120175791172</v>
      </c>
      <c r="F89" s="7">
        <v>1103.9895276278717</v>
      </c>
      <c r="G89" s="7">
        <v>1051.9732729371931</v>
      </c>
      <c r="H89" s="7">
        <v>1086.4703977886506</v>
      </c>
      <c r="I89" s="7">
        <v>1110.1412746879025</v>
      </c>
      <c r="J89" s="7">
        <v>1239.9498894438336</v>
      </c>
      <c r="K89" s="7">
        <v>1403.2033461658286</v>
      </c>
      <c r="L89" s="7">
        <v>1364.3122453969117</v>
      </c>
      <c r="M89" s="7">
        <v>1373.2188306590774</v>
      </c>
      <c r="N89" s="7">
        <v>1343.0619861379168</v>
      </c>
      <c r="O89" s="7">
        <v>1403.5599193783469</v>
      </c>
      <c r="P89" s="7">
        <v>1671.2778325785157</v>
      </c>
      <c r="Q89" s="7">
        <v>1650.6582415674859</v>
      </c>
      <c r="R89" s="7">
        <v>2281.8370713738041</v>
      </c>
      <c r="S89" s="7">
        <v>2572.0215374018971</v>
      </c>
      <c r="T89" s="7">
        <v>2435.6037718392954</v>
      </c>
      <c r="U89" s="7">
        <v>2445.2052601956216</v>
      </c>
      <c r="V89" s="7">
        <v>4225.549377330969</v>
      </c>
      <c r="W89" s="7">
        <v>2105.9086641105823</v>
      </c>
      <c r="X89" s="7">
        <v>2258.355090968058</v>
      </c>
      <c r="Y89" s="7">
        <v>3636.9854023580642</v>
      </c>
      <c r="Z89" s="7">
        <v>3861.7033648564502</v>
      </c>
      <c r="AA89" s="7">
        <v>4026.9496195066167</v>
      </c>
      <c r="AB89" s="7">
        <v>4846.6379496482714</v>
      </c>
      <c r="AC89" s="7">
        <v>5175.4658550778513</v>
      </c>
      <c r="AD89" s="7">
        <v>6827.0716048390759</v>
      </c>
      <c r="AE89" s="7">
        <v>7734.2146684380386</v>
      </c>
      <c r="AF89" s="7">
        <v>11217.515309942039</v>
      </c>
      <c r="AG89" s="7">
        <v>8504.8975333445323</v>
      </c>
      <c r="AH89" s="7">
        <v>5739.8509936441287</v>
      </c>
      <c r="AI89" s="7">
        <v>8446.3981015924583</v>
      </c>
      <c r="AJ89" s="7">
        <v>7380.0356945649464</v>
      </c>
      <c r="AK89" s="7">
        <v>9456.3453367303719</v>
      </c>
      <c r="AL89" s="7">
        <v>7641.2448957182251</v>
      </c>
      <c r="AM89" s="7">
        <v>5560.9484863884163</v>
      </c>
      <c r="AN89" s="7">
        <v>6690.1164137121305</v>
      </c>
      <c r="AO89" s="7">
        <v>6215.5782594728835</v>
      </c>
      <c r="AP89" s="7">
        <v>6772.7156799729</v>
      </c>
      <c r="AQ89" s="7">
        <v>3420.2431553830315</v>
      </c>
      <c r="AR89" s="7">
        <v>2369.2707718273455</v>
      </c>
      <c r="AS89" s="7">
        <v>1983.6968871346746</v>
      </c>
      <c r="AT89" s="7">
        <v>1437.2779249967921</v>
      </c>
      <c r="AU89" s="6">
        <v>1731.8327303801104</v>
      </c>
      <c r="AV89" s="6">
        <v>1967.1266021542381</v>
      </c>
      <c r="AW89" s="6">
        <v>2038.6111230021397</v>
      </c>
      <c r="AX89" s="6">
        <v>2395.5542359299025</v>
      </c>
      <c r="AY89" s="6">
        <v>2310.2623534468266</v>
      </c>
      <c r="AZ89" s="5">
        <v>1950.6543368276496</v>
      </c>
      <c r="BA89" s="5">
        <v>1937.6168515899249</v>
      </c>
      <c r="BB89" s="5">
        <v>1879.0796449107447</v>
      </c>
      <c r="BC89" s="5">
        <v>1717.1096096326512</v>
      </c>
      <c r="BD89" s="5">
        <v>1677.5235055798223</v>
      </c>
      <c r="BE89" s="5">
        <v>1558.9217372199196</v>
      </c>
      <c r="BF89" s="5">
        <v>1600.7406495181376</v>
      </c>
      <c r="BG89" s="5">
        <v>1567.5457993012185</v>
      </c>
      <c r="BH89" s="5">
        <v>1943.5346536790839</v>
      </c>
      <c r="BI89" s="5">
        <v>2031.2606311497921</v>
      </c>
      <c r="BJ89" s="5">
        <v>1968.1776180819579</v>
      </c>
      <c r="BK89" s="5">
        <v>1962.6166535890989</v>
      </c>
      <c r="BL89" s="5">
        <v>2413.7747121257084</v>
      </c>
      <c r="BM89" s="5">
        <v>2628.9013729731105</v>
      </c>
      <c r="BN89" s="5">
        <v>2679.7910135039438</v>
      </c>
      <c r="BO89" s="5">
        <v>3005.7966000476963</v>
      </c>
      <c r="BP89" s="5">
        <v>3465.2553558704644</v>
      </c>
      <c r="BQ89" s="5">
        <v>3427.4032261509101</v>
      </c>
      <c r="BR89" s="5">
        <v>3827.3953941878704</v>
      </c>
      <c r="BS89" s="5">
        <v>3000.0293272977137</v>
      </c>
      <c r="BT89" s="5">
        <v>2961.4900023054265</v>
      </c>
      <c r="BU89" s="5">
        <v>2917.3469513885707</v>
      </c>
      <c r="BV89" s="5">
        <v>3011.8442533639004</v>
      </c>
      <c r="BW89" s="5">
        <v>2978.5224514291122</v>
      </c>
      <c r="BX89" s="5">
        <v>3152.268242889259</v>
      </c>
      <c r="BY89" s="5">
        <v>3052.5867538254338</v>
      </c>
      <c r="BZ89" s="5">
        <v>3308.6118483134369</v>
      </c>
      <c r="CA89" s="5">
        <v>2510.2711632230853</v>
      </c>
    </row>
    <row r="90" spans="1:90" x14ac:dyDescent="0.2">
      <c r="A90" t="s">
        <v>146</v>
      </c>
      <c r="C90" t="s">
        <v>5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s="7">
        <v>620.79113000258269</v>
      </c>
      <c r="AB90" s="7">
        <v>1112.7536217547845</v>
      </c>
      <c r="AC90" s="7">
        <v>1341.8147315904546</v>
      </c>
      <c r="AD90" s="7">
        <v>1256.733530829523</v>
      </c>
      <c r="AE90" s="7">
        <v>1048.9087919707754</v>
      </c>
      <c r="AF90" s="7">
        <v>1124.1570006925081</v>
      </c>
      <c r="AG90" s="7">
        <v>1167.5979059939491</v>
      </c>
      <c r="AH90" s="7">
        <v>1368.3828416539275</v>
      </c>
      <c r="AI90" s="7">
        <v>1654.9985335268495</v>
      </c>
      <c r="AJ90" s="7">
        <v>2184.1743140056296</v>
      </c>
      <c r="AK90" s="7">
        <v>1988.9169433579962</v>
      </c>
      <c r="AL90" s="7">
        <v>1516.1727073599809</v>
      </c>
      <c r="AM90" s="7">
        <v>1282.377628684671</v>
      </c>
      <c r="AN90" s="7">
        <v>1237.0034878247088</v>
      </c>
      <c r="AO90" s="7">
        <v>1249.4490437655859</v>
      </c>
      <c r="AP90" s="7">
        <v>1051.113260871798</v>
      </c>
      <c r="AQ90" s="7">
        <v>1196.037179378739</v>
      </c>
      <c r="AR90" s="7">
        <v>1315.6785749297717</v>
      </c>
      <c r="AS90" s="7">
        <v>1284.9828355831492</v>
      </c>
      <c r="AT90" s="5">
        <v>897.99758491129728</v>
      </c>
      <c r="AU90" s="5">
        <v>1091.7015257329667</v>
      </c>
      <c r="AV90" s="5">
        <v>1053.7143953574832</v>
      </c>
      <c r="AW90" s="5">
        <v>1001.8609839018108</v>
      </c>
      <c r="AX90" s="5">
        <v>1031.0369642865485</v>
      </c>
      <c r="AY90" s="5">
        <v>1108.4116486651576</v>
      </c>
      <c r="AZ90" s="5">
        <v>1094.8076583937352</v>
      </c>
      <c r="BA90" s="5">
        <v>1092.0517463873243</v>
      </c>
      <c r="BB90" s="5">
        <v>1121.2024870619939</v>
      </c>
      <c r="BC90" s="5">
        <v>1105.5534469434886</v>
      </c>
      <c r="BD90" s="5">
        <v>1097.0096776723046</v>
      </c>
      <c r="BE90" s="5">
        <v>1011.1589346765983</v>
      </c>
      <c r="BF90" s="5">
        <v>879.99745480931665</v>
      </c>
      <c r="BG90" s="5">
        <v>850.06925785070075</v>
      </c>
      <c r="BH90" s="5">
        <v>861.03309255849308</v>
      </c>
      <c r="BI90" s="5">
        <v>900.06561627742553</v>
      </c>
      <c r="BJ90" s="5">
        <v>859.71484592271099</v>
      </c>
      <c r="BK90" s="5">
        <v>970.60928223887618</v>
      </c>
      <c r="BL90" s="5">
        <v>992.722402421982</v>
      </c>
      <c r="BM90" s="5">
        <v>1082.9278445230025</v>
      </c>
      <c r="BN90" s="5">
        <v>1052.9403284166992</v>
      </c>
      <c r="BO90" s="5">
        <v>1148.2582969916648</v>
      </c>
      <c r="BP90" s="5">
        <v>1205.3935361052427</v>
      </c>
      <c r="BQ90" s="5">
        <v>1243.8128353199668</v>
      </c>
      <c r="BR90" s="5">
        <v>1261.5635133262106</v>
      </c>
      <c r="BS90" s="5">
        <v>1292.5198013868319</v>
      </c>
      <c r="BT90" s="5">
        <v>1365.3719655182515</v>
      </c>
      <c r="BU90" s="5">
        <v>1484.1613501347126</v>
      </c>
      <c r="BV90" s="5">
        <v>1432.9373298720361</v>
      </c>
      <c r="BW90" s="5">
        <v>1469.5197204936371</v>
      </c>
      <c r="BX90" s="5">
        <v>1616.0717004263588</v>
      </c>
      <c r="BY90" s="5">
        <v>1459.4189783055888</v>
      </c>
      <c r="BZ90" s="5">
        <v>1511.4497603037178</v>
      </c>
      <c r="CA90" s="5">
        <v>1714.8748447497101</v>
      </c>
    </row>
    <row r="91" spans="1:90" x14ac:dyDescent="0.2">
      <c r="A91" t="s">
        <v>147</v>
      </c>
      <c r="C91" t="s">
        <v>148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s="7">
        <v>0.1806011217933268</v>
      </c>
      <c r="K91" s="7">
        <v>0.21826996089743883</v>
      </c>
      <c r="L91" s="7">
        <v>0.30429805322045017</v>
      </c>
      <c r="M91" s="7">
        <v>0.3196143572877792</v>
      </c>
      <c r="N91" s="7">
        <v>0.27233393587727395</v>
      </c>
      <c r="O91" s="7">
        <v>0.2734201802971033</v>
      </c>
      <c r="P91" s="7">
        <v>0.13760416358591815</v>
      </c>
      <c r="Q91" s="7">
        <v>0.2423730832142586</v>
      </c>
      <c r="R91" s="7">
        <v>0.28838397410358502</v>
      </c>
      <c r="S91" s="7">
        <v>0.29964403857325156</v>
      </c>
      <c r="T91" s="7">
        <v>0.33781986708529194</v>
      </c>
      <c r="U91" s="7">
        <v>0.34854814629055209</v>
      </c>
      <c r="V91" s="7">
        <v>0.39492546973960446</v>
      </c>
      <c r="W91" s="7">
        <v>0.39318283575302149</v>
      </c>
      <c r="X91" s="7">
        <v>0.37102338349420588</v>
      </c>
      <c r="Y91" s="7">
        <v>0.37448587914826614</v>
      </c>
      <c r="Z91" s="7">
        <v>0.46851802834956852</v>
      </c>
      <c r="AA91" s="7">
        <v>0.51152059372228498</v>
      </c>
      <c r="AB91" s="7">
        <v>0.51101301390502485</v>
      </c>
      <c r="AC91" s="7">
        <v>0.6752914267997685</v>
      </c>
      <c r="AD91" s="7">
        <v>0.72368158857255471</v>
      </c>
      <c r="AE91" s="7">
        <v>0.56046545121246871</v>
      </c>
      <c r="AF91" s="7">
        <v>0.65649939229928167</v>
      </c>
      <c r="AG91" s="7">
        <v>0.67758262699253047</v>
      </c>
      <c r="AH91" s="7">
        <v>0.67423314772486931</v>
      </c>
      <c r="AI91" s="7">
        <v>0.60073778829739266</v>
      </c>
      <c r="AJ91" s="7">
        <v>0.52107113852558551</v>
      </c>
      <c r="AK91" s="7">
        <v>0.71555986261400217</v>
      </c>
      <c r="AL91" s="7">
        <v>0.88686256148018627</v>
      </c>
      <c r="AM91" s="7">
        <v>0.85435104128109818</v>
      </c>
      <c r="AN91" s="7">
        <v>0.5073247714576824</v>
      </c>
      <c r="AO91" s="7">
        <v>0.60039863282646322</v>
      </c>
      <c r="AP91" s="7">
        <v>0.64096038182391224</v>
      </c>
      <c r="AQ91" s="7">
        <v>0.70885288814138325</v>
      </c>
      <c r="AR91" s="7">
        <v>1.0004758306400976</v>
      </c>
      <c r="AS91" s="7">
        <v>0.59344942815328783</v>
      </c>
      <c r="AT91" s="7">
        <v>0.71428670850435727</v>
      </c>
      <c r="AU91" s="7">
        <v>0.66028547787600433</v>
      </c>
      <c r="AV91" s="7">
        <v>0.82391160306079814</v>
      </c>
      <c r="AW91" s="5">
        <v>0.60434319590550656</v>
      </c>
      <c r="AX91" s="5">
        <v>0.58044087947442713</v>
      </c>
      <c r="AY91" s="5">
        <v>0.41918702547171138</v>
      </c>
      <c r="AZ91" s="5">
        <v>0.6874788014136578</v>
      </c>
      <c r="BA91" s="5">
        <v>0.53423169091250922</v>
      </c>
      <c r="BB91" s="5">
        <v>0.46410183633408114</v>
      </c>
      <c r="BC91" s="5">
        <v>0.56939274468190038</v>
      </c>
      <c r="BD91" s="5">
        <v>0.57556375494195355</v>
      </c>
      <c r="BE91" s="5">
        <v>0.42273255032003199</v>
      </c>
      <c r="BF91" s="5">
        <v>0.41158127081733287</v>
      </c>
      <c r="BG91" s="5">
        <v>0.58348595005178305</v>
      </c>
      <c r="BH91" s="5">
        <v>1.022935583294359</v>
      </c>
      <c r="BI91" s="5">
        <v>1.2593924721419574</v>
      </c>
      <c r="BJ91" s="5">
        <v>1.2718170842262857</v>
      </c>
      <c r="BK91" s="5">
        <v>1.2689825896817097</v>
      </c>
      <c r="BL91" s="5">
        <v>0.71541004401531183</v>
      </c>
      <c r="BM91" s="5">
        <v>0.6605640913459554</v>
      </c>
      <c r="BN91" s="5">
        <v>0.7800687032937007</v>
      </c>
      <c r="BO91" s="5">
        <v>0.92119102943388265</v>
      </c>
      <c r="BP91" s="5">
        <v>1.0968735466165855</v>
      </c>
      <c r="BQ91" s="5">
        <v>0.65490343146522834</v>
      </c>
      <c r="BR91" s="6">
        <v>0.49801259530391534</v>
      </c>
      <c r="BS91" s="6">
        <v>0.26676459038243816</v>
      </c>
      <c r="BT91" s="6">
        <v>2.0409718072880381</v>
      </c>
      <c r="BU91" s="6">
        <v>2.4499236147236134</v>
      </c>
      <c r="BV91" s="6">
        <v>18.919991640035981</v>
      </c>
      <c r="BW91" s="6">
        <v>11.642118967395279</v>
      </c>
      <c r="BX91" s="6">
        <v>2.2016565811104218</v>
      </c>
      <c r="BY91" s="6">
        <v>5.0783039132792958</v>
      </c>
      <c r="BZ91" s="6">
        <v>3.9170573402045368</v>
      </c>
      <c r="CA91" t="s">
        <v>6</v>
      </c>
    </row>
    <row r="92" spans="1:90" ht="18" x14ac:dyDescent="0.2">
      <c r="A92" s="2" t="s">
        <v>15</v>
      </c>
    </row>
    <row r="93" spans="1:90" x14ac:dyDescent="0.2">
      <c r="A93" s="4" t="s">
        <v>16</v>
      </c>
    </row>
    <row r="94" spans="1:90" x14ac:dyDescent="0.2">
      <c r="A94" t="s">
        <v>149</v>
      </c>
      <c r="C94" t="s">
        <v>5</v>
      </c>
      <c r="D94" t="s">
        <v>6</v>
      </c>
      <c r="E94" s="7">
        <v>3111.109561752804</v>
      </c>
      <c r="F94" s="7">
        <v>4468.6272681478558</v>
      </c>
      <c r="G94" s="7">
        <v>5707.1664631148396</v>
      </c>
      <c r="H94" s="7">
        <v>5744.5046257156764</v>
      </c>
      <c r="I94" s="7">
        <v>5152.220844270978</v>
      </c>
      <c r="J94" s="7">
        <v>5232.3088963211867</v>
      </c>
      <c r="K94" s="7">
        <v>5070.8439898347478</v>
      </c>
      <c r="L94" s="7">
        <v>4867.457992782829</v>
      </c>
      <c r="M94" s="7">
        <v>4822.7323009636384</v>
      </c>
      <c r="N94" s="7">
        <v>4850.1846721191505</v>
      </c>
      <c r="O94" s="7">
        <v>4771.7647323734682</v>
      </c>
      <c r="P94" s="7">
        <v>4768.2233911070098</v>
      </c>
      <c r="Q94" s="7">
        <v>4969.1615354465584</v>
      </c>
      <c r="R94" s="7">
        <v>5587.6661101362361</v>
      </c>
      <c r="S94" s="7">
        <v>6469.8677903879943</v>
      </c>
      <c r="T94" s="7">
        <v>7472.2117730861728</v>
      </c>
      <c r="U94" s="7">
        <v>9093.5801660220204</v>
      </c>
      <c r="V94" s="7">
        <v>10697.583508758236</v>
      </c>
      <c r="W94" s="7">
        <v>11497.823431746341</v>
      </c>
      <c r="X94" s="7">
        <v>11114.876800105803</v>
      </c>
      <c r="Y94" s="7">
        <v>10391.803687225558</v>
      </c>
      <c r="Z94" s="7">
        <v>10098.347018593931</v>
      </c>
      <c r="AA94" s="7">
        <v>10102.868340214514</v>
      </c>
      <c r="AB94" s="7">
        <v>9677.7249751390373</v>
      </c>
      <c r="AC94" s="7">
        <v>9544.0129668812024</v>
      </c>
      <c r="AD94" s="7">
        <v>9698.6630461405148</v>
      </c>
      <c r="AE94" s="7">
        <v>9847.1995662410718</v>
      </c>
      <c r="AF94" s="7">
        <v>9899.0109607998565</v>
      </c>
      <c r="AG94" s="7">
        <v>10008.106239053499</v>
      </c>
      <c r="AH94" s="7">
        <v>10343.083922612746</v>
      </c>
      <c r="AI94" s="7">
        <v>10876.635304055251</v>
      </c>
      <c r="AJ94" s="7">
        <v>11613.255836539272</v>
      </c>
      <c r="AK94" s="7">
        <v>12209.352601167328</v>
      </c>
      <c r="AL94" s="7">
        <v>12630.166101444771</v>
      </c>
      <c r="AM94" s="7">
        <v>13616.824179355177</v>
      </c>
      <c r="AN94" s="7">
        <v>14277.74136669262</v>
      </c>
      <c r="AO94" s="7">
        <v>14359.745250218264</v>
      </c>
      <c r="AP94" s="7">
        <v>13871.896382959976</v>
      </c>
      <c r="AQ94" s="7">
        <v>13379.67003637706</v>
      </c>
      <c r="AR94" s="7">
        <v>13266.951646014417</v>
      </c>
      <c r="AS94" s="7">
        <v>13332.335027550984</v>
      </c>
      <c r="AT94" s="7">
        <v>13559.752271316931</v>
      </c>
      <c r="AU94" s="7">
        <v>13955.291072132939</v>
      </c>
      <c r="AV94" s="7">
        <v>14484.186491488319</v>
      </c>
      <c r="AW94" s="7">
        <v>14646.179997395173</v>
      </c>
      <c r="AX94" s="7">
        <v>14186.982175905921</v>
      </c>
      <c r="AY94" s="7">
        <v>14013.227248837471</v>
      </c>
      <c r="AZ94" s="7">
        <v>14264.567604625106</v>
      </c>
      <c r="BA94" s="7">
        <v>14962.875512745803</v>
      </c>
      <c r="BB94" s="7">
        <v>15694.871139704401</v>
      </c>
      <c r="BC94" s="5">
        <v>15652.04048735273</v>
      </c>
      <c r="BD94" s="5">
        <v>16271.698301303199</v>
      </c>
      <c r="BE94" s="5">
        <v>16971.349887022108</v>
      </c>
      <c r="BF94" s="5">
        <v>17287.389538320243</v>
      </c>
      <c r="BG94" s="5">
        <v>18000.134791316381</v>
      </c>
      <c r="BH94" s="5">
        <v>18628.7580299808</v>
      </c>
      <c r="BI94" s="5">
        <v>19624.194132903973</v>
      </c>
      <c r="BJ94" s="5">
        <v>20829.879681892169</v>
      </c>
      <c r="BK94" s="5">
        <v>21589.398270967245</v>
      </c>
      <c r="BL94" s="5">
        <v>23215.771457915373</v>
      </c>
      <c r="BM94" s="5">
        <v>23485.821707455296</v>
      </c>
      <c r="BN94" s="5">
        <v>23160.454806190621</v>
      </c>
      <c r="BO94" s="5">
        <v>22348.824529337249</v>
      </c>
      <c r="BP94" s="5">
        <v>22154.707588483558</v>
      </c>
      <c r="BQ94" s="5">
        <v>24045.066406178285</v>
      </c>
      <c r="BR94" s="5">
        <v>26505.108067740402</v>
      </c>
      <c r="BS94" s="5">
        <v>29024.273248034762</v>
      </c>
      <c r="BT94" s="5">
        <v>28972.361302563226</v>
      </c>
      <c r="BU94" s="5">
        <v>28280.615014443374</v>
      </c>
      <c r="BV94" s="5">
        <v>29047.3011809257</v>
      </c>
      <c r="BW94" s="5">
        <v>30467.029839480947</v>
      </c>
      <c r="BX94" s="5">
        <v>32539.917935008518</v>
      </c>
      <c r="BY94" s="5">
        <v>32764.335838419731</v>
      </c>
      <c r="BZ94" s="5">
        <v>32387.989797745951</v>
      </c>
      <c r="CA94" s="5">
        <v>33005.837975733215</v>
      </c>
    </row>
    <row r="95" spans="1:90" x14ac:dyDescent="0.2">
      <c r="A95" t="s">
        <v>150</v>
      </c>
      <c r="C95" t="s">
        <v>151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s="5">
        <v>2.2278119688826479</v>
      </c>
      <c r="Y95" s="5">
        <v>2.5674817135416927</v>
      </c>
      <c r="Z95" s="5">
        <v>3.005979710268615</v>
      </c>
      <c r="AA95" s="5">
        <v>3.4822284300141835</v>
      </c>
      <c r="AB95" s="5">
        <v>3.5687827841116766</v>
      </c>
      <c r="AC95" s="5">
        <v>4.5910878042002157</v>
      </c>
      <c r="AD95" s="5">
        <v>6.295746354451988</v>
      </c>
      <c r="AE95" s="5">
        <v>8.2574388261120628</v>
      </c>
      <c r="AF95" s="5">
        <v>10.466104556615351</v>
      </c>
      <c r="AG95" s="5">
        <v>18.048963475127998</v>
      </c>
      <c r="AH95" s="5">
        <v>21.849195589639049</v>
      </c>
      <c r="AI95" s="5">
        <v>20.228456424069275</v>
      </c>
      <c r="AJ95" s="5">
        <v>20.833248342048069</v>
      </c>
      <c r="AK95" s="5">
        <v>27.923960112438252</v>
      </c>
      <c r="AL95" s="5">
        <v>28.855977814437651</v>
      </c>
      <c r="AM95" s="5">
        <v>30.135710340716638</v>
      </c>
      <c r="AN95" s="5">
        <v>27.612479474112927</v>
      </c>
      <c r="AO95" s="5">
        <v>27.745635307112916</v>
      </c>
      <c r="AP95" s="5">
        <v>49.657455533752589</v>
      </c>
      <c r="AQ95" s="5">
        <v>50.161140836022071</v>
      </c>
      <c r="AR95" s="5">
        <v>57.745065361621904</v>
      </c>
      <c r="AS95" s="5">
        <v>55.958823768465123</v>
      </c>
      <c r="AT95" s="5">
        <v>55.681456347461001</v>
      </c>
      <c r="AU95" s="5">
        <v>50.840589996270545</v>
      </c>
      <c r="AV95" s="5">
        <v>52.009394338738396</v>
      </c>
      <c r="AW95" s="5">
        <v>51.473209032318849</v>
      </c>
      <c r="AX95" s="5">
        <v>49.881274362314599</v>
      </c>
      <c r="AY95" s="5">
        <v>45.726711076915045</v>
      </c>
      <c r="AZ95" s="5">
        <v>42.893339642509162</v>
      </c>
      <c r="BA95" s="5">
        <v>40.757327380641186</v>
      </c>
      <c r="BB95" s="5">
        <v>41.750860343052814</v>
      </c>
      <c r="BC95" s="5">
        <v>60.056423497261093</v>
      </c>
      <c r="BD95" s="5">
        <v>63.084867801199536</v>
      </c>
      <c r="BE95" s="5">
        <v>56.657104263218066</v>
      </c>
      <c r="BF95" s="5">
        <v>56.881752996004487</v>
      </c>
      <c r="BG95" s="5">
        <v>63.454904955809177</v>
      </c>
      <c r="BH95" s="5">
        <v>55.720773643389656</v>
      </c>
      <c r="BI95" s="5">
        <v>69.804017838453419</v>
      </c>
      <c r="BJ95" s="5">
        <v>86.600122919982851</v>
      </c>
      <c r="BK95" s="5">
        <v>56.407903081222798</v>
      </c>
      <c r="BL95" s="5">
        <v>64.238240804415909</v>
      </c>
      <c r="BM95" s="5">
        <v>59.729164877475746</v>
      </c>
      <c r="BN95" s="5">
        <v>62.758899737996082</v>
      </c>
      <c r="BO95" s="5">
        <v>59.011408622854262</v>
      </c>
      <c r="BP95" s="5">
        <v>57.881712070485293</v>
      </c>
      <c r="BQ95" s="5">
        <v>75.961243674837618</v>
      </c>
      <c r="BR95" s="5">
        <v>47.45628879414943</v>
      </c>
      <c r="BS95" s="5">
        <v>58.26266099197538</v>
      </c>
      <c r="BT95" s="5">
        <v>76.876448123489922</v>
      </c>
      <c r="BU95" s="5">
        <v>80.59595797914551</v>
      </c>
      <c r="BV95" s="5">
        <v>79.359456941777054</v>
      </c>
      <c r="BW95" s="5">
        <v>73.969449617607182</v>
      </c>
      <c r="BX95" s="5">
        <v>68.084687805632711</v>
      </c>
      <c r="BY95" s="5">
        <v>68.313891531377891</v>
      </c>
      <c r="BZ95" s="5">
        <v>73.348297465734888</v>
      </c>
      <c r="CA95" s="5">
        <v>74.417447011957705</v>
      </c>
    </row>
    <row r="96" spans="1:90" x14ac:dyDescent="0.2">
      <c r="A96" t="s">
        <v>152</v>
      </c>
      <c r="C96" t="s">
        <v>5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s="7">
        <v>1208.5513419715057</v>
      </c>
      <c r="L96" s="7">
        <v>1165.557182456623</v>
      </c>
      <c r="M96" s="7">
        <v>1151.5482051721558</v>
      </c>
      <c r="N96" s="7">
        <v>1183.6406260419649</v>
      </c>
      <c r="O96" s="7">
        <v>1213.6609627169228</v>
      </c>
      <c r="P96" s="7">
        <v>1140.3317941751043</v>
      </c>
      <c r="Q96" s="7">
        <v>1111.9996212302037</v>
      </c>
      <c r="R96" s="7">
        <v>1133.3005181846961</v>
      </c>
      <c r="S96" s="7">
        <v>1351.5009086900718</v>
      </c>
      <c r="T96" s="7">
        <v>1345.0328261779682</v>
      </c>
      <c r="U96" s="7">
        <v>1527.6290850949169</v>
      </c>
      <c r="V96" s="7">
        <v>1482.2364734845316</v>
      </c>
      <c r="W96" s="7">
        <v>1567.0458858011725</v>
      </c>
      <c r="X96" s="7">
        <v>1626.9047740741357</v>
      </c>
      <c r="Y96" s="7">
        <v>1776.2785835470961</v>
      </c>
      <c r="Z96" s="7">
        <v>1670.6885612413685</v>
      </c>
      <c r="AA96" s="7">
        <v>1694.8487787603806</v>
      </c>
      <c r="AB96" s="7">
        <v>1647.6241251646356</v>
      </c>
      <c r="AC96" s="7">
        <v>1701.2940301470264</v>
      </c>
      <c r="AD96" s="7">
        <v>1733.0271070574368</v>
      </c>
      <c r="AE96" s="7">
        <v>1665.3547132663771</v>
      </c>
      <c r="AF96" s="7">
        <v>1686.2200699819082</v>
      </c>
      <c r="AG96" s="7">
        <v>1782.8925410393197</v>
      </c>
      <c r="AH96" s="7">
        <v>1788.7181427122302</v>
      </c>
      <c r="AI96" s="7">
        <v>2483.4776448768448</v>
      </c>
      <c r="AJ96" s="7">
        <v>2358.3071455373974</v>
      </c>
      <c r="AK96" s="7">
        <v>2163.365963371009</v>
      </c>
      <c r="AL96" s="7">
        <v>2110.1523282655885</v>
      </c>
      <c r="AM96" s="7">
        <v>2188.0882764943981</v>
      </c>
      <c r="AN96" s="7">
        <v>2170.1188947530723</v>
      </c>
      <c r="AO96" s="7">
        <v>2366.9757603632083</v>
      </c>
      <c r="AP96" s="7">
        <v>2426.3090120275933</v>
      </c>
      <c r="AQ96" s="7">
        <v>2134.6304595075726</v>
      </c>
      <c r="AR96" s="7">
        <v>2206.84072557938</v>
      </c>
      <c r="AS96" s="7">
        <v>2298.2505485355241</v>
      </c>
      <c r="AT96" s="7">
        <v>2166.1220798171412</v>
      </c>
      <c r="AU96" s="7">
        <v>2026.774621934379</v>
      </c>
      <c r="AV96" s="7">
        <v>1980.6724751751542</v>
      </c>
      <c r="AW96" s="7">
        <v>2006.2046013512784</v>
      </c>
      <c r="AX96" s="7">
        <v>2044.7895215498152</v>
      </c>
      <c r="AY96" s="7">
        <v>2061.4603943558982</v>
      </c>
      <c r="AZ96" s="7">
        <v>2019.746325622689</v>
      </c>
      <c r="BA96" s="7">
        <v>2022.4295797559898</v>
      </c>
      <c r="BB96" s="7">
        <v>2049.8987572057317</v>
      </c>
      <c r="BC96" s="7">
        <v>2058.6691301924448</v>
      </c>
      <c r="BD96" s="7">
        <v>2011.8344739570343</v>
      </c>
      <c r="BE96" s="7">
        <v>1935.5986621038587</v>
      </c>
      <c r="BF96" s="5">
        <v>1909.2801788323461</v>
      </c>
      <c r="BG96" s="5">
        <v>1788.7247570568049</v>
      </c>
      <c r="BH96" s="5">
        <v>1767.2945963495067</v>
      </c>
      <c r="BI96" s="5">
        <v>1955.4529223077534</v>
      </c>
      <c r="BJ96" s="5">
        <v>1973.2705429128844</v>
      </c>
      <c r="BK96" s="5">
        <v>1913.9139657142946</v>
      </c>
      <c r="BL96" s="5">
        <v>2008.7113482785596</v>
      </c>
      <c r="BM96" s="5">
        <v>2045.5367236111838</v>
      </c>
      <c r="BN96" s="5">
        <v>1977.9807493976091</v>
      </c>
      <c r="BO96" s="5">
        <v>1923.6460490328234</v>
      </c>
      <c r="BP96" s="5">
        <v>1878.5105606432351</v>
      </c>
      <c r="BQ96" s="5">
        <v>1874.2769991679129</v>
      </c>
      <c r="BR96" s="5">
        <v>1933.3474360355012</v>
      </c>
      <c r="BS96" s="5">
        <v>2132.8511478297664</v>
      </c>
      <c r="BT96" s="5">
        <v>2284.6254418610165</v>
      </c>
      <c r="BU96" s="5">
        <v>2495.1006547572315</v>
      </c>
      <c r="BV96" s="5">
        <v>3036.9227724956986</v>
      </c>
      <c r="BW96" s="5">
        <v>3126.4552923342444</v>
      </c>
      <c r="BX96" s="5">
        <v>2853.7018749396666</v>
      </c>
      <c r="BY96" s="5">
        <v>2891.1557130006267</v>
      </c>
      <c r="BZ96" s="5">
        <v>3029.0247146657512</v>
      </c>
      <c r="CA96" s="5">
        <v>2958.9192268994589</v>
      </c>
    </row>
    <row r="97" spans="1:79" x14ac:dyDescent="0.2">
      <c r="A97" t="s">
        <v>153</v>
      </c>
      <c r="C97" t="s">
        <v>154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t="s">
        <v>6</v>
      </c>
      <c r="AD97" s="5">
        <v>36.05662405888809</v>
      </c>
      <c r="AE97" s="5">
        <v>96.331668277707564</v>
      </c>
      <c r="AF97" s="5">
        <v>93.215532963141257</v>
      </c>
      <c r="AG97" s="5">
        <v>97.15075178211292</v>
      </c>
      <c r="AH97" s="5">
        <v>101.39955691398755</v>
      </c>
      <c r="AI97" s="5">
        <v>109.75215533893243</v>
      </c>
      <c r="AJ97" s="5">
        <v>100.43960756355344</v>
      </c>
      <c r="AK97" t="s">
        <v>6</v>
      </c>
      <c r="AL97" t="s">
        <v>6</v>
      </c>
      <c r="AM97" t="s">
        <v>6</v>
      </c>
      <c r="AN97" s="5">
        <v>105.50034544016474</v>
      </c>
      <c r="AO97" s="5">
        <v>106.11110411928267</v>
      </c>
      <c r="AP97" s="5">
        <v>108.61145401245626</v>
      </c>
      <c r="AQ97" s="5">
        <v>107.44633581522714</v>
      </c>
      <c r="AR97" s="5">
        <v>116.77598826164269</v>
      </c>
      <c r="AS97" s="5">
        <v>157.14060947976103</v>
      </c>
      <c r="AT97" s="5">
        <v>112.19605620004356</v>
      </c>
      <c r="AU97" s="5">
        <v>121.30086690103866</v>
      </c>
      <c r="AV97" s="5">
        <v>137.23223536725419</v>
      </c>
      <c r="AW97" s="5">
        <v>167.42854426326682</v>
      </c>
      <c r="AX97" s="5">
        <v>122.39601700705886</v>
      </c>
      <c r="AY97" s="5">
        <v>157.76915525920782</v>
      </c>
      <c r="AZ97" s="5">
        <v>167.13731966091385</v>
      </c>
      <c r="BA97" s="5">
        <v>132.62531216906709</v>
      </c>
      <c r="BB97" s="5">
        <v>102.6573735916715</v>
      </c>
      <c r="BC97" s="5">
        <v>90.530581153427292</v>
      </c>
      <c r="BD97" s="5">
        <v>75.742024368345383</v>
      </c>
      <c r="BE97" s="5">
        <v>52.534507635354167</v>
      </c>
      <c r="BF97" s="5">
        <v>47.524962979198598</v>
      </c>
      <c r="BG97" s="5">
        <v>53.214714961318137</v>
      </c>
      <c r="BH97" s="5">
        <v>62.780235069259113</v>
      </c>
      <c r="BI97" s="5">
        <v>62.106475884026224</v>
      </c>
      <c r="BJ97" s="5">
        <v>74.922257736789405</v>
      </c>
      <c r="BK97" s="5">
        <v>61.662473169192793</v>
      </c>
      <c r="BL97" s="5">
        <v>77.874169186865146</v>
      </c>
      <c r="BM97" s="5">
        <v>64.543602374592979</v>
      </c>
      <c r="BN97" s="5">
        <v>74.649512712936485</v>
      </c>
      <c r="BO97" s="5">
        <v>108.14647538489726</v>
      </c>
      <c r="BP97" s="5">
        <v>105.44943216088879</v>
      </c>
      <c r="BQ97" s="5">
        <v>117.50637918308682</v>
      </c>
      <c r="BR97" s="5">
        <v>110.77914365512278</v>
      </c>
      <c r="BS97" s="5">
        <v>93.06545292182247</v>
      </c>
      <c r="BT97" s="5">
        <v>91.735956158951794</v>
      </c>
      <c r="BU97" s="5">
        <v>89.530162670331478</v>
      </c>
      <c r="BV97" s="5">
        <v>99.912016577836212</v>
      </c>
      <c r="BW97" s="5">
        <v>101.6618024185799</v>
      </c>
      <c r="BX97" s="5">
        <v>90.573805003451341</v>
      </c>
      <c r="BY97" s="5">
        <v>133.40856252713203</v>
      </c>
      <c r="BZ97" s="5">
        <v>97.049257023191586</v>
      </c>
      <c r="CA97" s="5">
        <v>94.021659589354812</v>
      </c>
    </row>
    <row r="98" spans="1:79" x14ac:dyDescent="0.2">
      <c r="A98" s="4" t="s">
        <v>17</v>
      </c>
    </row>
    <row r="99" spans="1:79" x14ac:dyDescent="0.2">
      <c r="A99" t="s">
        <v>155</v>
      </c>
      <c r="C99" t="s">
        <v>156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  <c r="Y99" s="5">
        <v>68.814760315298159</v>
      </c>
      <c r="Z99" t="s">
        <v>6</v>
      </c>
      <c r="AA99" t="s">
        <v>6</v>
      </c>
      <c r="AB99" s="5">
        <v>79.796816808329496</v>
      </c>
      <c r="AC99" s="5">
        <v>77.561209581062457</v>
      </c>
      <c r="AD99" s="5">
        <v>81.41962122035504</v>
      </c>
      <c r="AE99" s="5">
        <v>103.84228848538528</v>
      </c>
      <c r="AF99" s="5">
        <v>109.54869680092985</v>
      </c>
      <c r="AG99" t="s">
        <v>6</v>
      </c>
      <c r="AH99" t="s">
        <v>6</v>
      </c>
      <c r="AI99" t="s">
        <v>6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6</v>
      </c>
      <c r="AT99" t="s">
        <v>6</v>
      </c>
      <c r="AU99" t="s">
        <v>6</v>
      </c>
      <c r="AV99" t="s">
        <v>6</v>
      </c>
      <c r="AW99" t="s">
        <v>6</v>
      </c>
      <c r="AX99" t="s">
        <v>6</v>
      </c>
      <c r="AY99" t="s">
        <v>6</v>
      </c>
      <c r="AZ99" t="s">
        <v>6</v>
      </c>
      <c r="BA99" t="s">
        <v>6</v>
      </c>
      <c r="BB99" t="s">
        <v>6</v>
      </c>
      <c r="BC99" t="s">
        <v>6</v>
      </c>
      <c r="BD99" t="s">
        <v>6</v>
      </c>
      <c r="BE99" t="s">
        <v>6</v>
      </c>
      <c r="BF99" t="s">
        <v>6</v>
      </c>
      <c r="BG99" s="7">
        <v>201.23648856145516</v>
      </c>
      <c r="BH99" s="5">
        <v>181.21645893111813</v>
      </c>
      <c r="BI99" s="5">
        <v>183.20136595227055</v>
      </c>
      <c r="BJ99" s="5">
        <v>282.01455109410858</v>
      </c>
      <c r="BK99" s="5">
        <v>245.77281608213761</v>
      </c>
      <c r="BL99" s="5">
        <v>276.5812844230407</v>
      </c>
      <c r="BM99" s="5">
        <v>295.76245233729492</v>
      </c>
      <c r="BN99" s="5">
        <v>290.91078034571524</v>
      </c>
      <c r="BO99" s="5">
        <v>218.00997848697125</v>
      </c>
      <c r="BP99" s="5">
        <v>200.98816300381708</v>
      </c>
      <c r="BQ99" s="5">
        <v>245.14802375419688</v>
      </c>
      <c r="BR99" s="5">
        <v>196.04861312126363</v>
      </c>
      <c r="BS99" s="5">
        <v>194.21449555817472</v>
      </c>
      <c r="BT99" s="5">
        <v>190.96293649338091</v>
      </c>
      <c r="BU99" s="5">
        <v>208.56389832298203</v>
      </c>
      <c r="BV99" s="5">
        <v>249.95251708854883</v>
      </c>
      <c r="BW99" s="5">
        <v>289.17854406262717</v>
      </c>
      <c r="BX99" s="5">
        <v>294.32475829853098</v>
      </c>
      <c r="BY99" t="s">
        <v>6</v>
      </c>
      <c r="BZ99" t="s">
        <v>6</v>
      </c>
      <c r="CA99" t="s">
        <v>6</v>
      </c>
    </row>
    <row r="100" spans="1:79" x14ac:dyDescent="0.2">
      <c r="A100" t="s">
        <v>157</v>
      </c>
      <c r="C100" t="s">
        <v>158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s="7">
        <v>201.60849259718285</v>
      </c>
      <c r="AC100" s="7">
        <v>228.08186190860974</v>
      </c>
      <c r="AD100" s="7">
        <v>234.206860402015</v>
      </c>
      <c r="AE100" s="7">
        <v>414.51239712915651</v>
      </c>
      <c r="AF100" s="7">
        <v>499.83074527926169</v>
      </c>
      <c r="AG100" s="7">
        <v>445.86725863513954</v>
      </c>
      <c r="AH100" s="7">
        <v>423.38181980576985</v>
      </c>
      <c r="AI100" s="7">
        <v>445.34711350528471</v>
      </c>
      <c r="AJ100" s="7">
        <v>471.02502304479265</v>
      </c>
      <c r="AK100" s="7">
        <v>544.31106112658506</v>
      </c>
      <c r="AL100" s="7">
        <v>694.20668350850224</v>
      </c>
      <c r="AM100" s="7">
        <v>682.59963545438791</v>
      </c>
      <c r="AN100" s="7">
        <v>628.15566154858709</v>
      </c>
      <c r="AO100" s="7">
        <v>684.92665686299813</v>
      </c>
      <c r="AP100" s="7">
        <v>735.27587811527633</v>
      </c>
      <c r="AQ100" s="7">
        <v>808.20240895519589</v>
      </c>
      <c r="AR100" s="7">
        <v>884.27277096991907</v>
      </c>
      <c r="AS100" s="7">
        <v>878.97743265487111</v>
      </c>
      <c r="AT100" s="7">
        <v>895.30438611518969</v>
      </c>
      <c r="AU100" s="7">
        <v>1030.3069959372563</v>
      </c>
      <c r="AV100" s="7">
        <v>1118.8856289753403</v>
      </c>
      <c r="AW100" s="7">
        <v>1254.797139847989</v>
      </c>
      <c r="AX100" s="7">
        <v>1290.8174340194143</v>
      </c>
      <c r="AY100" s="7">
        <v>1348.0975142300376</v>
      </c>
      <c r="AZ100" s="7">
        <v>1434.8206429627216</v>
      </c>
      <c r="BA100" s="7">
        <v>1455.2880855013468</v>
      </c>
      <c r="BB100" s="7">
        <v>1508.5606224649182</v>
      </c>
      <c r="BC100" s="7">
        <v>1575.0668716733396</v>
      </c>
      <c r="BD100" s="7">
        <v>1573.8208432045942</v>
      </c>
      <c r="BE100" s="7">
        <v>1526.8691755189825</v>
      </c>
      <c r="BF100" s="7">
        <v>1531.6011335757325</v>
      </c>
      <c r="BG100" s="7">
        <v>1560.62833211562</v>
      </c>
      <c r="BH100" s="7">
        <v>1582.0544079264871</v>
      </c>
      <c r="BI100" s="7">
        <v>1702.8454662425204</v>
      </c>
      <c r="BJ100" s="7">
        <v>1792.0393505599313</v>
      </c>
      <c r="BK100" s="7">
        <v>1770.5391781374212</v>
      </c>
      <c r="BL100" s="5">
        <v>2065.6560562333279</v>
      </c>
      <c r="BM100" s="5">
        <v>2487.4036271709629</v>
      </c>
      <c r="BN100" s="5">
        <v>2636.2044213082918</v>
      </c>
      <c r="BO100" s="5">
        <v>2773.2428730980396</v>
      </c>
      <c r="BP100" s="5">
        <v>2763.6248773258058</v>
      </c>
      <c r="BQ100" s="5">
        <v>2953.9280920096071</v>
      </c>
      <c r="BR100" s="5">
        <v>3336.9708076984398</v>
      </c>
      <c r="BS100" s="5">
        <v>3667.4875896180479</v>
      </c>
      <c r="BT100" s="5">
        <v>3573.3978675010708</v>
      </c>
      <c r="BU100" s="5">
        <v>3934.3958854581656</v>
      </c>
      <c r="BV100" s="5">
        <v>4492.2605015468935</v>
      </c>
      <c r="BW100" s="5">
        <v>4567.9708627810305</v>
      </c>
      <c r="BX100" s="5">
        <v>4524.9129566221281</v>
      </c>
      <c r="BY100" s="5">
        <v>4008.1093288845827</v>
      </c>
      <c r="BZ100" s="5">
        <v>3782.7930382562281</v>
      </c>
      <c r="CA100" s="5">
        <v>3934.759682548226</v>
      </c>
    </row>
    <row r="101" spans="1:79" x14ac:dyDescent="0.2">
      <c r="A101" t="s">
        <v>159</v>
      </c>
      <c r="C101" t="s">
        <v>160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s="7">
        <v>2941.0061930727065</v>
      </c>
      <c r="L101" s="7">
        <v>3517.2295534547316</v>
      </c>
      <c r="M101" s="7">
        <v>3523.2007382517336</v>
      </c>
      <c r="N101" s="7">
        <v>3252.8167859517275</v>
      </c>
      <c r="O101" s="7">
        <v>3284.0856871440769</v>
      </c>
      <c r="P101" s="7">
        <v>3542.9343399861982</v>
      </c>
      <c r="Q101" s="7">
        <v>4869.7210036687375</v>
      </c>
      <c r="R101" s="7">
        <v>7971.871883165375</v>
      </c>
      <c r="S101" s="7">
        <v>7781.6718678508942</v>
      </c>
      <c r="T101" s="7">
        <v>7606.3946036251955</v>
      </c>
      <c r="U101" s="7">
        <v>7162.4982339005564</v>
      </c>
      <c r="V101" s="7">
        <v>6692.0567321645403</v>
      </c>
      <c r="W101" s="7">
        <v>6930.282299589001</v>
      </c>
      <c r="X101" s="7">
        <v>7344.7284222291973</v>
      </c>
      <c r="Y101" s="7">
        <v>7573.4686760910154</v>
      </c>
      <c r="Z101" s="7">
        <v>9030.0302242910402</v>
      </c>
      <c r="AA101" s="7">
        <v>9520.60331538422</v>
      </c>
      <c r="AB101" s="7">
        <v>8409.1258492045672</v>
      </c>
      <c r="AC101" s="7">
        <v>7831.1045721754354</v>
      </c>
      <c r="AD101" s="7">
        <v>8789.2533668576452</v>
      </c>
      <c r="AE101" s="7">
        <v>10091.77603886641</v>
      </c>
      <c r="AF101" s="7">
        <v>9588.2034248509408</v>
      </c>
      <c r="AG101" s="7">
        <v>10026.406529147032</v>
      </c>
      <c r="AH101" s="7">
        <v>10804.279365549039</v>
      </c>
      <c r="AI101" s="7">
        <v>11087.705389625553</v>
      </c>
      <c r="AJ101" s="7">
        <v>11706.275008562408</v>
      </c>
      <c r="AK101" s="7">
        <v>12701.485403929513</v>
      </c>
      <c r="AL101" s="7">
        <v>13144.250441114693</v>
      </c>
      <c r="AM101" s="7">
        <v>13904.53696935735</v>
      </c>
      <c r="AN101" s="7">
        <v>15597.153323022379</v>
      </c>
      <c r="AO101" s="7">
        <v>18437.647315306436</v>
      </c>
      <c r="AP101" s="7">
        <v>19860.969638477309</v>
      </c>
      <c r="AQ101" s="5">
        <v>20336.228255388462</v>
      </c>
      <c r="AR101" s="5">
        <v>21429.189669998861</v>
      </c>
      <c r="AS101" s="5">
        <v>21108.19272394912</v>
      </c>
      <c r="AT101" s="5">
        <v>19709.042186362105</v>
      </c>
      <c r="AU101" s="5">
        <v>18836.11367258332</v>
      </c>
      <c r="AV101" s="5">
        <v>21274.602607648067</v>
      </c>
      <c r="AW101" s="5">
        <v>21369.543730445945</v>
      </c>
      <c r="AX101" s="5">
        <v>22010.069328639711</v>
      </c>
      <c r="AY101" s="5">
        <v>22409.126341320578</v>
      </c>
      <c r="AZ101" s="5">
        <v>24806.176817652598</v>
      </c>
      <c r="BA101" s="5">
        <v>25881.006424966152</v>
      </c>
      <c r="BB101" s="5">
        <v>30077.519741641798</v>
      </c>
      <c r="BC101" s="5">
        <v>31036.356720556512</v>
      </c>
      <c r="BD101" s="5">
        <v>32117.313543172251</v>
      </c>
      <c r="BE101" s="5">
        <v>32017.902588636764</v>
      </c>
      <c r="BF101" s="5">
        <v>32732.78111804049</v>
      </c>
      <c r="BG101" s="5">
        <v>38022.11693106038</v>
      </c>
      <c r="BH101" s="5">
        <v>40464.024595783565</v>
      </c>
      <c r="BI101" s="5">
        <v>40791.881738836928</v>
      </c>
      <c r="BJ101" s="5">
        <v>41284.651434743202</v>
      </c>
      <c r="BK101" s="5">
        <v>46827.119406728067</v>
      </c>
      <c r="BL101" s="5">
        <v>55131.657677931798</v>
      </c>
      <c r="BM101" s="5">
        <v>55353.356886549831</v>
      </c>
      <c r="BN101" s="5">
        <v>55862.060748138378</v>
      </c>
      <c r="BO101" s="5">
        <v>55578.570648853929</v>
      </c>
      <c r="BP101" s="5">
        <v>55615.35869482316</v>
      </c>
      <c r="BQ101" s="5">
        <v>58325.18186124487</v>
      </c>
      <c r="BR101" s="5">
        <v>58879.314335611547</v>
      </c>
      <c r="BS101" s="5">
        <v>64884.247011629057</v>
      </c>
      <c r="BT101" s="5">
        <v>69454.960310548428</v>
      </c>
      <c r="BU101" s="5">
        <v>71900.84542546497</v>
      </c>
      <c r="BV101" s="5">
        <v>76976.835030888193</v>
      </c>
      <c r="BW101" s="5">
        <v>77443.73732546308</v>
      </c>
      <c r="BX101" s="5">
        <v>76952.860906260903</v>
      </c>
      <c r="BY101" s="5">
        <v>80348.4948025958</v>
      </c>
      <c r="BZ101" s="5">
        <v>82293.332162581151</v>
      </c>
      <c r="CA101" s="5">
        <v>83623.140581432875</v>
      </c>
    </row>
    <row r="102" spans="1:79" x14ac:dyDescent="0.2">
      <c r="A102" t="s">
        <v>161</v>
      </c>
      <c r="C102" t="s">
        <v>3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s="7">
        <v>21.777382585589475</v>
      </c>
      <c r="Z102" s="5">
        <v>25.248252332262357</v>
      </c>
      <c r="AA102" s="5">
        <v>25.715140530082373</v>
      </c>
      <c r="AB102" s="5">
        <v>26.249047219816923</v>
      </c>
      <c r="AC102" s="5">
        <v>26.09267152782817</v>
      </c>
      <c r="AD102" s="5">
        <v>31.498720840498919</v>
      </c>
      <c r="AE102" s="5">
        <v>41.659451329132324</v>
      </c>
      <c r="AF102" s="5">
        <v>42.158744855896281</v>
      </c>
      <c r="AG102" s="5">
        <v>42.829913889425256</v>
      </c>
      <c r="AH102" s="5">
        <v>47.683398063391103</v>
      </c>
      <c r="AI102" s="5">
        <v>48.267113139789551</v>
      </c>
      <c r="AJ102" s="5">
        <v>48.814986142120262</v>
      </c>
      <c r="AK102" s="5">
        <v>54.46279651884263</v>
      </c>
      <c r="AL102" s="5">
        <v>60.723941795943681</v>
      </c>
      <c r="AM102" s="5">
        <v>67.111434788086328</v>
      </c>
      <c r="AN102" s="5">
        <v>71.966410654030369</v>
      </c>
      <c r="AO102" s="5">
        <v>71.565629168260685</v>
      </c>
      <c r="AP102" s="5">
        <v>72.5632578379618</v>
      </c>
      <c r="AQ102" s="5">
        <v>74.964532512172397</v>
      </c>
      <c r="AR102" s="5">
        <v>81.621316017876595</v>
      </c>
      <c r="AS102" s="5">
        <v>85.038045643681428</v>
      </c>
      <c r="AT102" s="5">
        <v>87.201474459209479</v>
      </c>
      <c r="AU102" s="5">
        <v>90.592058412719908</v>
      </c>
      <c r="AV102" s="5">
        <v>94.443473894277957</v>
      </c>
      <c r="AW102" s="5">
        <v>93.870802519087675</v>
      </c>
      <c r="AX102" s="5">
        <v>92.822310436018213</v>
      </c>
      <c r="AY102" s="5">
        <v>92.337791196681039</v>
      </c>
      <c r="AZ102" s="5">
        <v>97.825861861324313</v>
      </c>
      <c r="BA102" s="5">
        <v>99.274776095379011</v>
      </c>
      <c r="BB102" s="5">
        <v>107.34226061712789</v>
      </c>
      <c r="BC102" s="5">
        <v>118.02835207934642</v>
      </c>
      <c r="BD102" s="5">
        <v>152.65390506971261</v>
      </c>
      <c r="BE102" s="5">
        <v>203.21604891530905</v>
      </c>
      <c r="BF102" s="5">
        <v>226.53731997129896</v>
      </c>
      <c r="BG102" s="5">
        <v>270.52793205822968</v>
      </c>
      <c r="BH102" s="5">
        <v>299.12860560871081</v>
      </c>
      <c r="BI102" s="5">
        <v>281.48880709224494</v>
      </c>
      <c r="BJ102" s="5">
        <v>270.95334093288983</v>
      </c>
      <c r="BK102" s="5">
        <v>285.66520982531466</v>
      </c>
      <c r="BL102" s="5">
        <v>320.4082104011988</v>
      </c>
      <c r="BM102" s="5">
        <v>336.13961152729195</v>
      </c>
      <c r="BN102" s="5">
        <v>347.49265793494129</v>
      </c>
      <c r="BO102" s="5">
        <v>329.65639231836946</v>
      </c>
      <c r="BP102" s="5">
        <v>361.29637452539055</v>
      </c>
      <c r="BQ102" s="5">
        <v>408.35062222263457</v>
      </c>
      <c r="BR102" s="5">
        <v>392.15673821150057</v>
      </c>
      <c r="BS102" s="5">
        <v>416.6243364160843</v>
      </c>
      <c r="BT102" s="5">
        <v>479.36708039735936</v>
      </c>
      <c r="BU102" s="5">
        <v>470.33489320804887</v>
      </c>
      <c r="BV102" s="5">
        <v>455.40291983945565</v>
      </c>
      <c r="BW102" s="5">
        <v>467.80162278992481</v>
      </c>
      <c r="BX102" s="5">
        <v>461.87508193821242</v>
      </c>
      <c r="BY102" s="5">
        <v>462.98402781560088</v>
      </c>
      <c r="BZ102" s="5">
        <v>436.46292387931959</v>
      </c>
      <c r="CA102" s="5">
        <v>409.01897519469702</v>
      </c>
    </row>
    <row r="103" spans="1:79" x14ac:dyDescent="0.2">
      <c r="A103" t="s">
        <v>162</v>
      </c>
      <c r="C103" t="s">
        <v>163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s="7">
        <v>555.51453008888063</v>
      </c>
      <c r="L103" s="7">
        <v>461.04789861408227</v>
      </c>
      <c r="M103" s="7">
        <v>478.63120790651351</v>
      </c>
      <c r="N103" s="7">
        <v>564.21303649185347</v>
      </c>
      <c r="O103" s="7">
        <v>587.92003836464767</v>
      </c>
      <c r="P103" s="7">
        <v>581.92123528545676</v>
      </c>
      <c r="Q103" s="7">
        <v>557.75585384703095</v>
      </c>
      <c r="R103" s="7">
        <v>602.7645656353717</v>
      </c>
      <c r="S103" s="7">
        <v>679.25308064266551</v>
      </c>
      <c r="T103" s="7">
        <v>1096.9109191746695</v>
      </c>
      <c r="U103" s="7">
        <v>1279.0230193576765</v>
      </c>
      <c r="V103" s="7">
        <v>1041.9159016838114</v>
      </c>
      <c r="W103" s="7">
        <v>1071.1966015979142</v>
      </c>
      <c r="X103" s="7">
        <v>1164.9167902358395</v>
      </c>
      <c r="Y103" s="7">
        <v>1270.8683465310544</v>
      </c>
      <c r="Z103" s="7">
        <v>1412.4305498680233</v>
      </c>
      <c r="AA103" s="7">
        <v>1583.2931113068523</v>
      </c>
      <c r="AB103" s="7">
        <v>1479.2396789978879</v>
      </c>
      <c r="AC103" s="7">
        <v>1475.5066287412669</v>
      </c>
      <c r="AD103" s="7">
        <v>1544.8649344088153</v>
      </c>
      <c r="AE103" s="7">
        <v>1557.6080653654444</v>
      </c>
      <c r="AF103" s="7">
        <v>1550.7848730856833</v>
      </c>
      <c r="AG103" s="7">
        <v>1650.2587099159089</v>
      </c>
      <c r="AH103" s="7">
        <v>1745.7513217505223</v>
      </c>
      <c r="AI103" s="7">
        <v>1886.145122755086</v>
      </c>
      <c r="AJ103" s="7">
        <v>2049.2475148202716</v>
      </c>
      <c r="AK103" s="7">
        <v>2469.3889246982299</v>
      </c>
      <c r="AL103" s="7">
        <v>2755.347924163369</v>
      </c>
      <c r="AM103" s="7">
        <v>2961.1663213824017</v>
      </c>
      <c r="AN103" s="7">
        <v>3223.8233212328696</v>
      </c>
      <c r="AO103" s="7">
        <v>3465.752671799059</v>
      </c>
      <c r="AP103" s="7">
        <v>3789.9591315329808</v>
      </c>
      <c r="AQ103" s="7">
        <v>3922.4804435769006</v>
      </c>
      <c r="AR103" s="7">
        <v>3934.0819936466023</v>
      </c>
      <c r="AS103" s="7">
        <v>4152.0583902429889</v>
      </c>
      <c r="AT103" s="7">
        <v>4444.7632140523538</v>
      </c>
      <c r="AU103" s="7">
        <v>4726.0106009722422</v>
      </c>
      <c r="AV103" s="7">
        <v>4701.8593687415823</v>
      </c>
      <c r="AW103" s="7">
        <v>4566.7714520130421</v>
      </c>
      <c r="AX103" s="7">
        <v>4645.721796875443</v>
      </c>
      <c r="AY103" s="7">
        <v>4644.5019633318607</v>
      </c>
      <c r="AZ103" s="7">
        <v>4447.0518544696579</v>
      </c>
      <c r="BA103" s="7">
        <v>4447.0142643014042</v>
      </c>
      <c r="BB103" s="7">
        <v>4490.9869483799666</v>
      </c>
      <c r="BC103" s="7">
        <v>4500.6043198812386</v>
      </c>
      <c r="BD103" s="7">
        <v>4814.6076409777797</v>
      </c>
      <c r="BE103" s="7">
        <v>5177.6807379217862</v>
      </c>
      <c r="BF103" s="7">
        <v>5532.8887652383673</v>
      </c>
      <c r="BG103" s="7">
        <v>5760.2836110428379</v>
      </c>
      <c r="BH103" s="7">
        <v>5995.324434800048</v>
      </c>
      <c r="BI103" s="7">
        <v>6094.5349080941705</v>
      </c>
      <c r="BJ103" s="5">
        <v>6136.9344147538841</v>
      </c>
      <c r="BK103" s="5">
        <v>5785.8754331686096</v>
      </c>
      <c r="BL103" s="5">
        <v>5962.6268475515326</v>
      </c>
      <c r="BM103" s="5">
        <v>6234.974808419408</v>
      </c>
      <c r="BN103" s="7">
        <v>6572.6028854193646</v>
      </c>
      <c r="BO103" s="5">
        <v>6970.2114756521696</v>
      </c>
      <c r="BP103" s="5">
        <v>7209.4962794937073</v>
      </c>
      <c r="BQ103" s="5">
        <v>7583.1286235044345</v>
      </c>
      <c r="BR103" s="5">
        <v>8237.2791677729456</v>
      </c>
      <c r="BS103" s="5">
        <v>8519.1217550314777</v>
      </c>
      <c r="BT103" s="5">
        <v>9337.9292238858125</v>
      </c>
      <c r="BU103" s="5">
        <v>10443.60515038313</v>
      </c>
      <c r="BV103" s="5">
        <v>10316.461775966181</v>
      </c>
      <c r="BW103" s="5">
        <v>10148.231114630717</v>
      </c>
      <c r="BX103" s="5">
        <v>10581.19179620065</v>
      </c>
      <c r="BY103" s="5">
        <v>9877.2842113617044</v>
      </c>
      <c r="BZ103" s="5">
        <v>8626.1575883701062</v>
      </c>
      <c r="CA103" s="5">
        <v>8183.350598795334</v>
      </c>
    </row>
    <row r="104" spans="1:79" x14ac:dyDescent="0.2">
      <c r="A104" t="s">
        <v>164</v>
      </c>
      <c r="C104" t="s">
        <v>165</v>
      </c>
      <c r="D104" t="s">
        <v>6</v>
      </c>
      <c r="E104" t="s">
        <v>6</v>
      </c>
      <c r="F104" s="7">
        <v>6.8217909701167487</v>
      </c>
      <c r="G104" s="7">
        <v>8.9028222598111046</v>
      </c>
      <c r="H104" s="7">
        <v>12.107562589129543</v>
      </c>
      <c r="I104" s="7">
        <v>19.278277356896808</v>
      </c>
      <c r="J104" s="7">
        <v>17.673683338469747</v>
      </c>
      <c r="K104" s="7">
        <v>21.132767783569477</v>
      </c>
      <c r="L104" s="7">
        <v>28.891287271174857</v>
      </c>
      <c r="M104" s="7">
        <v>40.720695860801086</v>
      </c>
      <c r="N104" s="7">
        <v>44.149873612834391</v>
      </c>
      <c r="O104" s="7">
        <v>44.477991826806502</v>
      </c>
      <c r="P104" s="7">
        <v>45.115951898642919</v>
      </c>
      <c r="Q104" s="7">
        <v>41.237735084369923</v>
      </c>
      <c r="R104" s="7">
        <v>35.406290825849894</v>
      </c>
      <c r="S104" s="7">
        <v>34.361665388204592</v>
      </c>
      <c r="T104" s="7">
        <v>35.602463994066561</v>
      </c>
      <c r="U104" s="7">
        <v>37.649719226806582</v>
      </c>
      <c r="V104" s="7">
        <v>38.665660327626227</v>
      </c>
      <c r="W104" s="7">
        <v>40.721581883425614</v>
      </c>
      <c r="X104" s="7">
        <v>42.023507027306358</v>
      </c>
      <c r="Y104" s="7">
        <v>52.652943384230021</v>
      </c>
      <c r="Z104" s="7">
        <v>78.392845093282915</v>
      </c>
      <c r="AA104" t="s">
        <v>6</v>
      </c>
      <c r="AB104" s="7">
        <v>56.544939514548105</v>
      </c>
      <c r="AC104" s="7">
        <v>59.107370732774022</v>
      </c>
      <c r="AD104" s="7">
        <v>62.64075304187876</v>
      </c>
      <c r="AE104" s="7">
        <v>57.632955849823681</v>
      </c>
      <c r="AF104" s="7">
        <v>71.247827063971599</v>
      </c>
      <c r="AG104" s="7">
        <v>87.359878560970955</v>
      </c>
      <c r="AH104" s="7">
        <v>100.66635353818006</v>
      </c>
      <c r="AI104" s="7">
        <v>92.999973407919128</v>
      </c>
      <c r="AJ104" s="7">
        <v>82.449068915799529</v>
      </c>
      <c r="AK104" s="7">
        <v>75.481515843878938</v>
      </c>
      <c r="AL104" s="7">
        <v>132.46772091745217</v>
      </c>
      <c r="AM104" s="7">
        <v>148.97039211853169</v>
      </c>
      <c r="AN104" s="7">
        <v>531.23768454463675</v>
      </c>
      <c r="AO104" s="7">
        <v>463.9548529134662</v>
      </c>
      <c r="AP104" s="7">
        <v>594.0478075995436</v>
      </c>
      <c r="AQ104" s="7">
        <v>410.9353979583708</v>
      </c>
      <c r="AR104" s="7">
        <v>317.02925471135751</v>
      </c>
      <c r="AS104" s="7">
        <v>431.55072990341142</v>
      </c>
      <c r="AT104" s="7">
        <v>589.17817938180042</v>
      </c>
      <c r="AU104" s="7">
        <v>660.14494416210073</v>
      </c>
      <c r="AV104" s="7">
        <v>707.15227081150636</v>
      </c>
      <c r="AW104" s="7">
        <v>821.39075893487313</v>
      </c>
      <c r="AX104" s="7">
        <v>1382.5216863433661</v>
      </c>
      <c r="AY104" s="7">
        <v>1291.8145190270297</v>
      </c>
      <c r="AZ104" s="7">
        <v>1146.3016037339978</v>
      </c>
      <c r="BA104" s="7">
        <v>1201.8450712667336</v>
      </c>
      <c r="BB104" s="7">
        <v>1082.4621785683892</v>
      </c>
      <c r="BC104" s="7">
        <v>1448.0438525512204</v>
      </c>
      <c r="BD104" s="7">
        <v>1208.8832275871766</v>
      </c>
      <c r="BE104" s="7">
        <v>1000.1720671116698</v>
      </c>
      <c r="BF104" s="7">
        <v>899.46156744441168</v>
      </c>
      <c r="BG104" s="5">
        <v>1002.1900837760039</v>
      </c>
      <c r="BH104" s="5">
        <v>927.38039656211333</v>
      </c>
      <c r="BI104" s="5">
        <v>1070.8274617920165</v>
      </c>
      <c r="BJ104" s="5">
        <v>1311.4611925590082</v>
      </c>
      <c r="BK104" s="5">
        <v>1501.4188164239101</v>
      </c>
      <c r="BL104" s="5">
        <v>1550.7650973785333</v>
      </c>
      <c r="BM104" s="5">
        <v>1445.3359607675279</v>
      </c>
      <c r="BN104" s="5">
        <v>1515.7405782677215</v>
      </c>
      <c r="BO104" s="5">
        <v>1368.3212305832571</v>
      </c>
      <c r="BP104" s="5">
        <v>1405.1479430945972</v>
      </c>
      <c r="BQ104" s="5">
        <v>1647.6397529825103</v>
      </c>
      <c r="BR104" s="5">
        <v>1775.8014492284813</v>
      </c>
      <c r="BS104" s="5">
        <v>1549.5571454951428</v>
      </c>
      <c r="BT104" s="5">
        <v>1613.5123435919543</v>
      </c>
      <c r="BU104" s="5">
        <v>1479.1511710467828</v>
      </c>
      <c r="BV104" s="5">
        <v>1495.7105261921452</v>
      </c>
      <c r="BW104" s="5">
        <v>1392.874195988225</v>
      </c>
      <c r="BX104" s="5">
        <v>1430.4864343534312</v>
      </c>
      <c r="BY104" s="5">
        <v>1023.2044223984138</v>
      </c>
      <c r="BZ104" s="5">
        <v>1165.8246402134698</v>
      </c>
      <c r="CA104" s="5">
        <v>1075.7957831196402</v>
      </c>
    </row>
    <row r="105" spans="1:79" x14ac:dyDescent="0.2">
      <c r="A105" s="4" t="s">
        <v>18</v>
      </c>
    </row>
    <row r="106" spans="1:79" x14ac:dyDescent="0.2">
      <c r="A106" t="s">
        <v>166</v>
      </c>
      <c r="C106" t="s">
        <v>167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  <c r="AI106" t="s">
        <v>6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s="7">
        <v>20219.34913317571</v>
      </c>
      <c r="AS106" s="7">
        <v>21980.308065594723</v>
      </c>
      <c r="AT106" s="7">
        <v>23363.049589151487</v>
      </c>
      <c r="AU106" s="7">
        <v>28412.451470658467</v>
      </c>
      <c r="AV106" s="7">
        <v>26127.746050460926</v>
      </c>
      <c r="AW106" s="7">
        <v>25140.054044312783</v>
      </c>
      <c r="AX106" s="7">
        <v>26111.849062816109</v>
      </c>
      <c r="AY106" s="7">
        <v>27663.255268394474</v>
      </c>
      <c r="AZ106" s="7">
        <v>29511.611678681384</v>
      </c>
      <c r="BA106" s="7">
        <v>32223.029622421778</v>
      </c>
      <c r="BB106" s="7">
        <v>39282.539409266115</v>
      </c>
      <c r="BC106" s="7">
        <v>42518.976238900184</v>
      </c>
      <c r="BD106" s="7">
        <v>50416.05809112214</v>
      </c>
      <c r="BE106" s="7">
        <v>57905.096231555435</v>
      </c>
      <c r="BF106" s="7">
        <v>62667.321367314049</v>
      </c>
      <c r="BG106" s="7">
        <v>69026.330133856813</v>
      </c>
      <c r="BH106" s="7">
        <v>75799.845191639295</v>
      </c>
      <c r="BI106" s="7">
        <v>87250.558052893262</v>
      </c>
      <c r="BJ106" s="7">
        <v>95911.120082713431</v>
      </c>
      <c r="BK106" s="7">
        <v>104937.28888206781</v>
      </c>
      <c r="BL106" s="7">
        <v>127335.0381432844</v>
      </c>
      <c r="BM106" s="7">
        <v>133606.67059385218</v>
      </c>
      <c r="BN106" s="7">
        <v>143428.90712299096</v>
      </c>
      <c r="BO106" s="7">
        <v>158165.56305353675</v>
      </c>
      <c r="BP106" s="7">
        <v>171025.45221650059</v>
      </c>
      <c r="BQ106" s="7">
        <v>184676.83865118984</v>
      </c>
      <c r="BR106" s="7">
        <v>199174.68478896198</v>
      </c>
      <c r="BS106" s="7">
        <v>210640.25097791446</v>
      </c>
      <c r="BT106" s="7">
        <v>223594.95370558175</v>
      </c>
      <c r="BU106" s="7">
        <v>236692.30179092195</v>
      </c>
      <c r="BV106" s="7">
        <v>248223.31996609148</v>
      </c>
      <c r="BW106" s="7">
        <v>259923.32821429588</v>
      </c>
      <c r="BX106" s="7">
        <v>266692.2922625771</v>
      </c>
      <c r="BY106" s="7">
        <v>278474.44010824041</v>
      </c>
      <c r="BZ106" s="7">
        <v>296821.37759150215</v>
      </c>
      <c r="CA106" s="7">
        <v>317561.04232492473</v>
      </c>
    </row>
    <row r="107" spans="1:79" x14ac:dyDescent="0.2">
      <c r="A107" t="s">
        <v>168</v>
      </c>
      <c r="C107" t="s">
        <v>169</v>
      </c>
      <c r="D107" t="s">
        <v>6</v>
      </c>
      <c r="E107" t="s">
        <v>6</v>
      </c>
      <c r="F107" t="s">
        <v>6</v>
      </c>
      <c r="G107" s="7">
        <v>6621.507332162224</v>
      </c>
      <c r="H107" s="7">
        <v>6878.2186128984531</v>
      </c>
      <c r="I107" s="7">
        <v>7749.0098210172755</v>
      </c>
      <c r="J107" s="7">
        <v>8049.9102115713758</v>
      </c>
      <c r="K107" s="7">
        <v>7523.921760247109</v>
      </c>
      <c r="L107" s="7">
        <v>7200.4541713495546</v>
      </c>
      <c r="M107" s="7">
        <v>7355.0928545136949</v>
      </c>
      <c r="N107" s="7">
        <v>7344.5156917524346</v>
      </c>
      <c r="O107" s="7">
        <v>7355.4866600621435</v>
      </c>
      <c r="P107" s="7">
        <v>7149.7566832550892</v>
      </c>
      <c r="Q107" s="7">
        <v>7319.542455874488</v>
      </c>
      <c r="R107" s="7">
        <v>7956.6463540417117</v>
      </c>
      <c r="S107" s="7">
        <v>8735.4678304047266</v>
      </c>
      <c r="T107" s="5">
        <v>9374.4528601883248</v>
      </c>
      <c r="U107" s="5">
        <v>10127.33465961752</v>
      </c>
      <c r="V107" s="5">
        <v>10853.391709616764</v>
      </c>
      <c r="W107" s="5">
        <v>11580.747063810284</v>
      </c>
      <c r="X107" s="5">
        <v>12579.024769521959</v>
      </c>
      <c r="Y107" s="5">
        <v>13781.583012554518</v>
      </c>
      <c r="Z107" s="5">
        <v>15196.764278203964</v>
      </c>
      <c r="AA107" s="5">
        <v>16964.420024736504</v>
      </c>
      <c r="AB107" s="5">
        <v>17902.224972712691</v>
      </c>
      <c r="AC107" s="5">
        <v>18344.523709078476</v>
      </c>
      <c r="AD107" s="5">
        <v>19086.44187359147</v>
      </c>
      <c r="AE107" s="5">
        <v>19254.355776441098</v>
      </c>
      <c r="AF107" s="5">
        <v>19820.318534539168</v>
      </c>
      <c r="AG107" s="5">
        <v>20957.312849858703</v>
      </c>
      <c r="AH107" s="5">
        <v>22301.556244030686</v>
      </c>
      <c r="AI107" s="5">
        <v>22658.592318131254</v>
      </c>
      <c r="AJ107" s="5">
        <v>23470.928120207693</v>
      </c>
      <c r="AK107" s="5">
        <v>24244.050685817703</v>
      </c>
      <c r="AL107" s="5">
        <v>25443.255806991685</v>
      </c>
      <c r="AM107" s="5">
        <v>26606.071849338383</v>
      </c>
      <c r="AN107" s="5">
        <v>28033.642527458014</v>
      </c>
      <c r="AO107" s="5">
        <v>29267.370434261546</v>
      </c>
      <c r="AP107" s="5">
        <v>30479.524943959907</v>
      </c>
      <c r="AQ107" s="5">
        <v>32017.442031454117</v>
      </c>
      <c r="AR107" s="5">
        <v>33403.263053356313</v>
      </c>
      <c r="AS107" s="5">
        <v>35038.677132763034</v>
      </c>
      <c r="AT107" s="5">
        <v>35923.82226705741</v>
      </c>
      <c r="AU107" s="5">
        <v>36463.624880811643</v>
      </c>
      <c r="AV107" s="5">
        <v>36316.464434797563</v>
      </c>
      <c r="AW107" s="5">
        <v>36304.079673632448</v>
      </c>
      <c r="AX107" s="5">
        <v>36905.30219117277</v>
      </c>
      <c r="AY107" s="5">
        <v>37576.666397778186</v>
      </c>
      <c r="AZ107" s="5">
        <v>37895.042649536423</v>
      </c>
      <c r="BA107" s="5">
        <v>37938.147397886794</v>
      </c>
      <c r="BB107" s="5">
        <v>37740.570157326321</v>
      </c>
      <c r="BC107" s="5">
        <v>37938.476243118042</v>
      </c>
      <c r="BD107" s="5">
        <v>38602.625180009309</v>
      </c>
      <c r="BE107" s="5">
        <v>38794.895282021032</v>
      </c>
      <c r="BF107" s="5">
        <v>38844.007380227078</v>
      </c>
      <c r="BG107" s="5">
        <v>38688.811151416921</v>
      </c>
      <c r="BH107" s="5">
        <v>38618.851790574648</v>
      </c>
      <c r="BI107" s="5">
        <v>38126.734841085534</v>
      </c>
      <c r="BJ107" s="5">
        <v>37631.15921266751</v>
      </c>
      <c r="BK107" s="5">
        <v>37268.99577524644</v>
      </c>
      <c r="BL107" s="5">
        <v>37967.1514635165</v>
      </c>
      <c r="BM107" s="5">
        <v>38103.113416490545</v>
      </c>
      <c r="BN107" s="5">
        <v>38618.139812177571</v>
      </c>
      <c r="BO107" s="5">
        <v>38149.958970164524</v>
      </c>
      <c r="BP107" s="5">
        <v>37992.19599668117</v>
      </c>
      <c r="BQ107" s="5">
        <v>38398.941384323618</v>
      </c>
      <c r="BR107" s="5">
        <v>39073.557874811297</v>
      </c>
      <c r="BS107" s="5">
        <v>38841.384691877509</v>
      </c>
      <c r="BT107" s="5">
        <v>38584.438541933254</v>
      </c>
      <c r="BU107" s="5">
        <v>40526.729096661802</v>
      </c>
      <c r="BV107" s="5">
        <v>41679.456787428266</v>
      </c>
      <c r="BW107" s="5">
        <v>41322.157507463249</v>
      </c>
      <c r="BX107" s="5">
        <v>44420.911480199858</v>
      </c>
      <c r="BY107" s="5">
        <v>41782.51952847869</v>
      </c>
      <c r="BZ107" s="5">
        <v>48189.108621390515</v>
      </c>
      <c r="CA107" s="5">
        <v>58399.279571758241</v>
      </c>
    </row>
    <row r="108" spans="1:79" x14ac:dyDescent="0.2">
      <c r="A108" t="s">
        <v>170</v>
      </c>
      <c r="C108" t="s">
        <v>171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  <c r="AI108" t="s">
        <v>6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6</v>
      </c>
      <c r="AT108" t="s">
        <v>6</v>
      </c>
      <c r="AU108" t="s">
        <v>6</v>
      </c>
      <c r="AV108" t="s">
        <v>6</v>
      </c>
      <c r="AW108" t="s">
        <v>6</v>
      </c>
      <c r="AX108" t="s">
        <v>6</v>
      </c>
      <c r="AY108" t="s">
        <v>6</v>
      </c>
      <c r="AZ108" t="s">
        <v>6</v>
      </c>
      <c r="BA108" t="s">
        <v>6</v>
      </c>
      <c r="BB108" t="s">
        <v>6</v>
      </c>
      <c r="BC108" t="s">
        <v>6</v>
      </c>
      <c r="BD108" t="s">
        <v>6</v>
      </c>
      <c r="BE108" t="s">
        <v>6</v>
      </c>
      <c r="BF108" t="s">
        <v>6</v>
      </c>
      <c r="BG108" t="s">
        <v>6</v>
      </c>
      <c r="BH108" t="s">
        <v>6</v>
      </c>
      <c r="BI108" t="s">
        <v>6</v>
      </c>
      <c r="BJ108" t="s">
        <v>6</v>
      </c>
      <c r="BK108" t="s">
        <v>6</v>
      </c>
      <c r="BL108" t="s">
        <v>6</v>
      </c>
      <c r="BM108" t="s">
        <v>6</v>
      </c>
      <c r="BN108" t="s">
        <v>6</v>
      </c>
      <c r="BO108" t="s">
        <v>6</v>
      </c>
      <c r="BP108" t="s">
        <v>6</v>
      </c>
      <c r="BQ108" t="s">
        <v>6</v>
      </c>
      <c r="BR108" t="s">
        <v>6</v>
      </c>
      <c r="BS108" t="s">
        <v>6</v>
      </c>
      <c r="BT108" t="s">
        <v>6</v>
      </c>
      <c r="BU108" t="s">
        <v>6</v>
      </c>
      <c r="BV108" t="s">
        <v>6</v>
      </c>
      <c r="BW108" t="s">
        <v>6</v>
      </c>
      <c r="BX108" t="s">
        <v>6</v>
      </c>
      <c r="BY108" t="s">
        <v>6</v>
      </c>
      <c r="BZ108" t="s">
        <v>6</v>
      </c>
      <c r="CA108" t="s">
        <v>6</v>
      </c>
    </row>
    <row r="109" spans="1:79" x14ac:dyDescent="0.2">
      <c r="A109" t="s">
        <v>172</v>
      </c>
      <c r="C109" t="s">
        <v>173</v>
      </c>
      <c r="D109" t="s">
        <v>6</v>
      </c>
      <c r="E109" t="s">
        <v>6</v>
      </c>
      <c r="F109" t="s">
        <v>6</v>
      </c>
      <c r="G109" t="s">
        <v>6</v>
      </c>
      <c r="H109" s="7">
        <v>189.18909445123964</v>
      </c>
      <c r="I109" s="7">
        <v>474.58622851257036</v>
      </c>
      <c r="J109" s="7">
        <v>526.05934672570709</v>
      </c>
      <c r="K109" s="7">
        <v>754.01338388966758</v>
      </c>
      <c r="L109" s="7">
        <v>648.14301964118079</v>
      </c>
      <c r="M109" s="7">
        <v>765.12369207398524</v>
      </c>
      <c r="N109" s="7">
        <v>811.78872847983666</v>
      </c>
      <c r="O109" s="7">
        <v>787.26219867059945</v>
      </c>
      <c r="P109" s="7">
        <v>820.82761444172536</v>
      </c>
      <c r="Q109" s="7">
        <v>952.32774911379715</v>
      </c>
      <c r="R109" s="7">
        <v>787.24871150229262</v>
      </c>
      <c r="S109" s="7">
        <v>744.51125866979805</v>
      </c>
      <c r="T109" s="7">
        <v>782.20861195292071</v>
      </c>
      <c r="U109" s="7">
        <v>1412.5980984560749</v>
      </c>
      <c r="V109" s="7">
        <v>1570.4745604391876</v>
      </c>
      <c r="W109" s="7">
        <v>1850.3148735180184</v>
      </c>
      <c r="X109" s="7">
        <v>2133.2348446218775</v>
      </c>
      <c r="Y109" s="7">
        <v>2205.3559286989016</v>
      </c>
      <c r="Z109" s="7">
        <v>2592.0510555538526</v>
      </c>
      <c r="AA109" s="7">
        <v>3032.0516307262801</v>
      </c>
      <c r="AB109" s="7">
        <v>3050.0185670797805</v>
      </c>
      <c r="AC109" s="7">
        <v>3901.1692362220551</v>
      </c>
      <c r="AD109" s="7">
        <v>4502.7549064176856</v>
      </c>
      <c r="AE109" s="7">
        <v>6472.254557778464</v>
      </c>
      <c r="AF109" s="7">
        <v>7693.1536078983909</v>
      </c>
      <c r="AG109" s="7">
        <v>9582.2996817234543</v>
      </c>
      <c r="AH109" s="7">
        <v>8999.7568538163177</v>
      </c>
      <c r="AI109" s="7">
        <v>9859.2412670125541</v>
      </c>
      <c r="AJ109" s="7">
        <v>10215.299238121883</v>
      </c>
      <c r="AK109" s="7">
        <v>10649.186893019401</v>
      </c>
      <c r="AL109" s="7">
        <v>11085.010796705476</v>
      </c>
      <c r="AM109" s="7">
        <v>11365.502811011218</v>
      </c>
      <c r="AN109" s="7">
        <v>12287.005505632</v>
      </c>
      <c r="AO109" s="7">
        <v>13210.535605480007</v>
      </c>
      <c r="AP109" s="7">
        <v>13570.66490977986</v>
      </c>
      <c r="AQ109" s="7">
        <v>14416.661256524936</v>
      </c>
      <c r="AR109" s="7">
        <v>15332.054947691975</v>
      </c>
      <c r="AS109" s="7">
        <v>15893.157777772636</v>
      </c>
      <c r="AT109" s="7">
        <v>16326.952105504222</v>
      </c>
      <c r="AU109" s="7">
        <v>17331.012806227081</v>
      </c>
      <c r="AV109" s="7">
        <v>18129.754233676475</v>
      </c>
      <c r="AW109" s="7">
        <v>18654.221980918737</v>
      </c>
      <c r="AX109" s="7">
        <v>20392.352288366776</v>
      </c>
      <c r="AY109" s="7">
        <v>20679.083621509646</v>
      </c>
      <c r="AZ109" s="7">
        <v>21187.952663312575</v>
      </c>
      <c r="BA109" s="7">
        <v>20448.12148636231</v>
      </c>
      <c r="BB109" s="7">
        <v>19899.592982395054</v>
      </c>
      <c r="BC109" s="7">
        <v>21123.957419085451</v>
      </c>
      <c r="BD109" s="7">
        <v>21728.118315126012</v>
      </c>
      <c r="BE109" s="7">
        <v>22326.945888406775</v>
      </c>
      <c r="BF109" s="7">
        <v>23086.012492240312</v>
      </c>
      <c r="BG109" s="7">
        <v>24100.202945462628</v>
      </c>
      <c r="BH109" s="5">
        <v>26065.077183562862</v>
      </c>
      <c r="BI109" s="5">
        <v>27004.340815162253</v>
      </c>
      <c r="BJ109" s="5">
        <v>28227.469209376603</v>
      </c>
      <c r="BK109" s="5">
        <v>30073.982684682436</v>
      </c>
      <c r="BL109" s="5">
        <v>31964.762865804169</v>
      </c>
      <c r="BM109" s="5">
        <v>32230.356648619319</v>
      </c>
      <c r="BN109" s="5">
        <v>32671.960147732159</v>
      </c>
      <c r="BO109" s="5">
        <v>33503.851920686822</v>
      </c>
      <c r="BP109" s="5">
        <v>34518.815421936444</v>
      </c>
      <c r="BQ109" s="5">
        <v>35876.70532940609</v>
      </c>
      <c r="BR109" s="5">
        <v>37270.413021211338</v>
      </c>
      <c r="BS109" s="5">
        <v>38204.259831775569</v>
      </c>
      <c r="BT109" s="5">
        <v>38907.033567672617</v>
      </c>
      <c r="BU109" s="5">
        <v>40880.226743670246</v>
      </c>
      <c r="BV109" s="5">
        <v>44173.469743115253</v>
      </c>
      <c r="BW109" s="5">
        <v>46497.710028433619</v>
      </c>
      <c r="BX109" s="5">
        <v>48523.072171870539</v>
      </c>
      <c r="BY109" s="5">
        <v>47504.829737448206</v>
      </c>
      <c r="BZ109" s="5">
        <v>47801.863038878735</v>
      </c>
      <c r="CA109" s="5">
        <v>48473.49894472141</v>
      </c>
    </row>
    <row r="110" spans="1:79" x14ac:dyDescent="0.2">
      <c r="A110" t="s">
        <v>174</v>
      </c>
      <c r="C110" t="s">
        <v>5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s="5">
        <v>137.93847509094022</v>
      </c>
      <c r="AT110" s="5">
        <v>93.781478179213465</v>
      </c>
      <c r="AU110" s="5">
        <v>41.372283176881119</v>
      </c>
      <c r="AV110" s="5">
        <v>39.361009391223014</v>
      </c>
      <c r="AW110" s="5">
        <v>34.235579406333777</v>
      </c>
      <c r="AX110" s="5">
        <v>48.28625811540536</v>
      </c>
      <c r="AY110" s="5">
        <v>40.802135146064195</v>
      </c>
      <c r="AZ110" s="5">
        <v>37.234511647928642</v>
      </c>
      <c r="BA110" s="5">
        <v>38.620815819452098</v>
      </c>
      <c r="BB110" s="5">
        <v>39.475823000430843</v>
      </c>
      <c r="BC110" s="5">
        <v>50.183618852902548</v>
      </c>
      <c r="BD110" s="5">
        <v>45.878409563017982</v>
      </c>
      <c r="BE110" s="5">
        <v>50.273778363659488</v>
      </c>
      <c r="BF110" s="5">
        <v>47.528024821563186</v>
      </c>
      <c r="BG110" s="5">
        <v>51.766141039297459</v>
      </c>
      <c r="BH110" s="5">
        <v>50.146974642086604</v>
      </c>
      <c r="BI110" s="5">
        <v>61.424396378495146</v>
      </c>
      <c r="BJ110" s="5">
        <v>80.227447677410268</v>
      </c>
      <c r="BK110" s="5">
        <v>73.702115214800727</v>
      </c>
      <c r="BL110" s="5">
        <v>47.620110954101811</v>
      </c>
      <c r="BM110" s="5">
        <v>59.533353551232452</v>
      </c>
      <c r="BN110" s="5">
        <v>81.365575136908575</v>
      </c>
      <c r="BO110" s="5">
        <v>99.525533554865447</v>
      </c>
      <c r="BP110" s="5">
        <v>92.073092925772627</v>
      </c>
      <c r="BQ110" s="5">
        <v>99.407236662852256</v>
      </c>
      <c r="BR110" s="5">
        <v>98.616902586171705</v>
      </c>
      <c r="BS110" s="5">
        <v>100.97595146498456</v>
      </c>
      <c r="BT110" s="5">
        <v>99.967395397563195</v>
      </c>
      <c r="BU110" s="5">
        <v>95.543942874815656</v>
      </c>
      <c r="BV110" s="5">
        <v>102.26213093725168</v>
      </c>
      <c r="BW110" s="5">
        <v>105.84851064905179</v>
      </c>
      <c r="BX110" s="5">
        <v>101.53188726768209</v>
      </c>
      <c r="BY110" s="5">
        <v>89.799386012207961</v>
      </c>
      <c r="BZ110" s="5">
        <v>111.46704198602069</v>
      </c>
      <c r="CA110" s="5">
        <v>166.09669770370803</v>
      </c>
    </row>
    <row r="111" spans="1:79" x14ac:dyDescent="0.2">
      <c r="A111" t="s">
        <v>175</v>
      </c>
      <c r="C111" t="s">
        <v>176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t="s">
        <v>6</v>
      </c>
      <c r="AD111" t="s">
        <v>6</v>
      </c>
      <c r="AE111" s="7">
        <v>4795.342028032891</v>
      </c>
      <c r="AF111" s="7">
        <v>5824.1295638653</v>
      </c>
      <c r="AG111" s="7">
        <v>6683.232444895847</v>
      </c>
      <c r="AH111" s="7">
        <v>7932.9205383216458</v>
      </c>
      <c r="AI111" s="7">
        <v>7999.1939789668686</v>
      </c>
      <c r="AJ111" s="7">
        <v>7434.5142385408444</v>
      </c>
      <c r="AK111" s="7">
        <v>8154.0062065568809</v>
      </c>
      <c r="AL111" s="7">
        <v>8162.6537630013509</v>
      </c>
      <c r="AM111" s="7">
        <v>8224.5162569114764</v>
      </c>
      <c r="AN111" s="7">
        <v>9189.3244164287789</v>
      </c>
      <c r="AO111" s="7">
        <v>9539.2434129701724</v>
      </c>
      <c r="AP111" s="7">
        <v>9696.0398996174281</v>
      </c>
      <c r="AQ111" s="7">
        <v>10791.145018792446</v>
      </c>
      <c r="AR111" s="7">
        <v>11835.35107938594</v>
      </c>
      <c r="AS111" s="7">
        <v>12486.811410253118</v>
      </c>
      <c r="AT111" s="7">
        <v>12848.544268852211</v>
      </c>
      <c r="AU111" s="7">
        <v>12989.435690078637</v>
      </c>
      <c r="AV111" s="7">
        <v>14725.312732030294</v>
      </c>
      <c r="AW111" s="5">
        <v>14547.352546863365</v>
      </c>
      <c r="AX111" s="5">
        <v>13480.486483103683</v>
      </c>
      <c r="AY111" s="5">
        <v>13907.156001681524</v>
      </c>
      <c r="AZ111" s="5">
        <v>13848.726306690813</v>
      </c>
      <c r="BA111" s="5">
        <v>12953.994381768467</v>
      </c>
      <c r="BB111" s="5">
        <v>11820.333027668807</v>
      </c>
      <c r="BC111" s="5">
        <v>11367.203665229434</v>
      </c>
      <c r="BD111" s="5">
        <v>11161.246632690985</v>
      </c>
      <c r="BE111" s="5">
        <v>10794.014345571679</v>
      </c>
      <c r="BF111" s="5">
        <v>10690.948471604765</v>
      </c>
      <c r="BG111" s="5">
        <v>10709.62603884511</v>
      </c>
      <c r="BH111" s="5">
        <v>10304.118153327434</v>
      </c>
      <c r="BI111" s="5">
        <v>9885.2124437415187</v>
      </c>
      <c r="BJ111" s="5">
        <v>10460.259963008895</v>
      </c>
      <c r="BK111" s="5">
        <v>10650.901613973105</v>
      </c>
      <c r="BL111" s="5">
        <v>11471.295464408162</v>
      </c>
      <c r="BM111" s="5">
        <v>10841.880206706526</v>
      </c>
      <c r="BN111" s="5">
        <v>10945.257920195369</v>
      </c>
      <c r="BO111" s="5">
        <v>11330.782176276114</v>
      </c>
      <c r="BP111" s="5">
        <v>10700.808287918375</v>
      </c>
      <c r="BQ111" s="5">
        <v>10638.745614950705</v>
      </c>
      <c r="BR111" s="5">
        <v>11212.552820678409</v>
      </c>
      <c r="BS111" s="5">
        <v>11019.816977354754</v>
      </c>
      <c r="BT111" s="5">
        <v>11166.232954022009</v>
      </c>
      <c r="BU111" s="5">
        <v>10925.289455451502</v>
      </c>
      <c r="BV111" s="5">
        <v>11652.205698415102</v>
      </c>
      <c r="BW111" s="5">
        <v>12165.810030066947</v>
      </c>
      <c r="BX111" s="5">
        <v>13146.227819680365</v>
      </c>
      <c r="BY111" s="5">
        <v>14901.377237451319</v>
      </c>
      <c r="BZ111" s="5">
        <v>16344.564791689403</v>
      </c>
      <c r="CA111" s="5">
        <v>16634.732847177882</v>
      </c>
    </row>
    <row r="112" spans="1:79" x14ac:dyDescent="0.2">
      <c r="A112" s="4" t="s">
        <v>19</v>
      </c>
    </row>
    <row r="113" spans="1:79" x14ac:dyDescent="0.2">
      <c r="A113" t="s">
        <v>177</v>
      </c>
      <c r="C113" t="s">
        <v>178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6</v>
      </c>
      <c r="AH113" t="s">
        <v>6</v>
      </c>
      <c r="AI113" s="5">
        <v>415.15049707684648</v>
      </c>
      <c r="AJ113" s="5">
        <v>409.28976080982932</v>
      </c>
      <c r="AK113" s="5">
        <v>424.26824793820424</v>
      </c>
      <c r="AL113" s="5">
        <v>286.97535130760843</v>
      </c>
      <c r="AM113" s="5">
        <v>233.65290651670256</v>
      </c>
      <c r="AN113" s="5">
        <v>246.06509719302494</v>
      </c>
      <c r="AO113" s="5">
        <v>259.0371431162892</v>
      </c>
      <c r="AP113" s="5">
        <v>234.65376247919471</v>
      </c>
      <c r="AQ113" s="5">
        <v>378.39834104908454</v>
      </c>
      <c r="AR113" s="5">
        <v>377.68847751590636</v>
      </c>
      <c r="AS113" s="5">
        <v>426.82601792093419</v>
      </c>
      <c r="AT113" s="5">
        <v>425.11752672860973</v>
      </c>
      <c r="AU113" s="5">
        <v>405.88718882151028</v>
      </c>
      <c r="AV113" s="5">
        <v>358.94684333833658</v>
      </c>
      <c r="AW113" s="5">
        <v>370.70914828809754</v>
      </c>
      <c r="AX113" s="5">
        <v>354.20865255376765</v>
      </c>
      <c r="AY113" s="5">
        <v>397.00996901672329</v>
      </c>
      <c r="AZ113" s="5">
        <v>461.98796705589029</v>
      </c>
      <c r="BA113" s="5">
        <v>416.61637635644314</v>
      </c>
      <c r="BB113" s="5">
        <v>372.43814442003412</v>
      </c>
      <c r="BC113" s="5">
        <v>352.49044406717883</v>
      </c>
      <c r="BD113" s="5">
        <v>324.60082551045184</v>
      </c>
      <c r="BE113" s="5">
        <v>345.0738368121564</v>
      </c>
      <c r="BF113" s="5">
        <v>360.18194012617533</v>
      </c>
      <c r="BG113" s="5">
        <v>283.96457583086823</v>
      </c>
      <c r="BH113" s="5">
        <v>344.35080415690248</v>
      </c>
      <c r="BI113" s="5">
        <v>387.42541684485207</v>
      </c>
      <c r="BJ113" s="5">
        <v>400.78867681728298</v>
      </c>
      <c r="BK113" s="5">
        <v>413.56330571383569</v>
      </c>
      <c r="BL113" s="5">
        <v>405.93278115219141</v>
      </c>
      <c r="BM113" s="5">
        <v>423.570842105331</v>
      </c>
      <c r="BN113" s="5">
        <v>414.84930140400485</v>
      </c>
      <c r="BO113" s="5">
        <v>407.56563891500957</v>
      </c>
      <c r="BP113" s="5">
        <v>407.32853770693953</v>
      </c>
      <c r="BQ113" s="5">
        <v>529.39505872564735</v>
      </c>
      <c r="BR113" s="5">
        <v>463.78997088493486</v>
      </c>
      <c r="BS113" s="5">
        <v>444.64760965131455</v>
      </c>
      <c r="BT113" s="5">
        <v>387.6843205442845</v>
      </c>
      <c r="BU113" s="5">
        <v>385.88998985341857</v>
      </c>
      <c r="BV113" s="5">
        <v>454.18028823747198</v>
      </c>
      <c r="BW113" s="5">
        <v>474.13310405199587</v>
      </c>
      <c r="BX113" s="5">
        <v>471.58981581304488</v>
      </c>
      <c r="BY113" s="5">
        <v>448.62528767729668</v>
      </c>
      <c r="BZ113" s="5">
        <v>448.91149072944268</v>
      </c>
      <c r="CA113" s="5">
        <v>554.16022663370643</v>
      </c>
    </row>
    <row r="114" spans="1:79" x14ac:dyDescent="0.2">
      <c r="A114" t="s">
        <v>179</v>
      </c>
      <c r="C114" t="s">
        <v>5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6</v>
      </c>
      <c r="AH114" t="s">
        <v>6</v>
      </c>
      <c r="AI114" t="s">
        <v>6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s="7">
        <v>2.2807614601636912</v>
      </c>
      <c r="AP114" s="7">
        <v>2.0690436144630602</v>
      </c>
      <c r="AQ114" s="7">
        <v>3.1200889000638994</v>
      </c>
      <c r="AR114" s="7">
        <v>5.724276688318338</v>
      </c>
      <c r="AS114" s="7">
        <v>13.308966794906125</v>
      </c>
      <c r="AT114" s="7">
        <v>31.025818668239051</v>
      </c>
      <c r="AU114" s="7">
        <v>69.392753336235586</v>
      </c>
      <c r="AV114" s="7">
        <v>99.729176609058655</v>
      </c>
      <c r="AW114" s="7">
        <v>219.54225169075221</v>
      </c>
      <c r="AX114" s="5">
        <v>244.57544435402019</v>
      </c>
      <c r="AY114" s="5">
        <v>225.45410036648894</v>
      </c>
      <c r="AZ114" s="5">
        <v>213.52591512948271</v>
      </c>
      <c r="BA114" s="5">
        <v>190.4435379507583</v>
      </c>
      <c r="BB114" s="5">
        <v>197.0390466080934</v>
      </c>
      <c r="BC114" s="5">
        <v>184.09284032640474</v>
      </c>
      <c r="BD114" s="5">
        <v>165.12549791449217</v>
      </c>
      <c r="BE114" s="5">
        <v>151.43857721274568</v>
      </c>
      <c r="BF114" s="5">
        <v>157.85058652819109</v>
      </c>
      <c r="BG114" s="5">
        <v>156.78535940655883</v>
      </c>
      <c r="BH114" s="5">
        <v>153.61653159147002</v>
      </c>
      <c r="BI114" s="5">
        <v>155.65914254021607</v>
      </c>
      <c r="BJ114" s="5">
        <v>147.3923816945819</v>
      </c>
      <c r="BK114" s="5">
        <v>124.14514751582276</v>
      </c>
      <c r="BL114" s="5">
        <v>212.15869374148218</v>
      </c>
      <c r="BM114" s="5">
        <v>253.46817746975233</v>
      </c>
      <c r="BN114" s="5">
        <v>266.78285817216278</v>
      </c>
      <c r="BO114" s="5">
        <v>291.25266449769452</v>
      </c>
      <c r="BP114" s="5">
        <v>316.54374304952728</v>
      </c>
      <c r="BQ114" s="5">
        <v>348.87192387424597</v>
      </c>
      <c r="BR114" s="5">
        <v>406.21895540591635</v>
      </c>
      <c r="BS114" s="5">
        <v>462.52464250778348</v>
      </c>
      <c r="BT114" s="5">
        <v>537.92103555168615</v>
      </c>
      <c r="BU114" s="5">
        <v>621.48589237189947</v>
      </c>
      <c r="BV114" s="5">
        <v>670.11441873951605</v>
      </c>
      <c r="BW114" s="5">
        <v>683.37172538021525</v>
      </c>
      <c r="BX114" s="5">
        <v>671.62174005939062</v>
      </c>
      <c r="BY114" s="5">
        <v>628.53330097499622</v>
      </c>
      <c r="BZ114" s="5">
        <v>667.98573315848512</v>
      </c>
      <c r="CA114" s="5">
        <v>709.25788720877699</v>
      </c>
    </row>
    <row r="115" spans="1:79" x14ac:dyDescent="0.2">
      <c r="A115" t="s">
        <v>180</v>
      </c>
      <c r="C115" t="s">
        <v>181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s="7">
        <v>1360.5295909220829</v>
      </c>
      <c r="AD115" s="7">
        <v>1741.2839552304454</v>
      </c>
      <c r="AE115" s="7">
        <v>1741.5166512957253</v>
      </c>
      <c r="AF115" s="7">
        <v>1806.2391400795921</v>
      </c>
      <c r="AG115" s="7">
        <v>1972.281994234397</v>
      </c>
      <c r="AH115" s="7">
        <v>2280.5775544354856</v>
      </c>
      <c r="AI115" s="7">
        <v>2648.6351867701783</v>
      </c>
      <c r="AJ115" s="7">
        <v>2984.4566422447783</v>
      </c>
      <c r="AK115" s="7">
        <v>2947.5015405915901</v>
      </c>
      <c r="AL115" s="7">
        <v>2707.2403481109777</v>
      </c>
      <c r="AM115" s="7">
        <v>2704.7672948803693</v>
      </c>
      <c r="AN115" s="7">
        <v>2685.4008009353856</v>
      </c>
      <c r="AO115" s="7">
        <v>2642.9682077798111</v>
      </c>
      <c r="AP115" s="7">
        <v>2408.2960167135911</v>
      </c>
      <c r="AQ115" s="7">
        <v>2301.2107967444558</v>
      </c>
      <c r="AR115" s="7">
        <v>2359.1039486451932</v>
      </c>
      <c r="AS115" s="7">
        <v>2608.4586438171518</v>
      </c>
      <c r="AT115" s="7">
        <v>2652.8965404214373</v>
      </c>
      <c r="AU115" s="7">
        <v>2856.3421666052636</v>
      </c>
      <c r="AV115" s="7">
        <v>2742.1931171703932</v>
      </c>
      <c r="AW115" s="7">
        <v>3030.7587380915807</v>
      </c>
      <c r="AX115" s="5">
        <v>3189.729009596992</v>
      </c>
      <c r="AY115" s="5">
        <v>3569.0036607834645</v>
      </c>
      <c r="AZ115" s="5">
        <v>4690.7706520651291</v>
      </c>
      <c r="BA115" s="5">
        <v>3067.1399674097138</v>
      </c>
      <c r="BB115" s="5">
        <v>2330.5742363383524</v>
      </c>
      <c r="BC115" s="5">
        <v>2397.9015212260506</v>
      </c>
      <c r="BD115" s="5">
        <v>2131.8745137239735</v>
      </c>
      <c r="BE115" s="5">
        <v>2576.9136446410448</v>
      </c>
      <c r="BF115" s="5">
        <v>3465.054701049643</v>
      </c>
      <c r="BG115" s="5">
        <v>3873.9439612599267</v>
      </c>
      <c r="BH115" s="5">
        <v>3364.6789211408959</v>
      </c>
      <c r="BI115" s="5">
        <v>3416.6063517526495</v>
      </c>
      <c r="BJ115" s="5">
        <v>4108.5483895424959</v>
      </c>
      <c r="BK115" s="5">
        <v>3817.2263667320376</v>
      </c>
      <c r="BL115" s="5">
        <v>4004.9029069842341</v>
      </c>
      <c r="BM115" s="5">
        <v>4703.4887953428624</v>
      </c>
      <c r="BN115" s="5">
        <v>5392.1710690697064</v>
      </c>
      <c r="BO115" s="5">
        <v>6191.1837434521958</v>
      </c>
      <c r="BP115" s="5">
        <v>8323.756214710198</v>
      </c>
      <c r="BQ115" s="5">
        <v>7333.7450360567454</v>
      </c>
      <c r="BR115" s="5">
        <v>8528.3333618237975</v>
      </c>
      <c r="BS115" s="5">
        <v>7958.8923478069155</v>
      </c>
      <c r="BT115" s="5">
        <v>9175.2181247034223</v>
      </c>
      <c r="BU115" s="5">
        <v>8066.7871458665395</v>
      </c>
      <c r="BV115" s="5">
        <v>8465.8931287329524</v>
      </c>
      <c r="BW115" s="5">
        <v>9855.9687634448237</v>
      </c>
      <c r="BX115" s="5">
        <v>8925.766357030152</v>
      </c>
      <c r="BY115" s="5">
        <v>10235.708445115715</v>
      </c>
      <c r="BZ115" s="5">
        <v>11258.797569510034</v>
      </c>
      <c r="CA115" s="5">
        <v>11214.16867084496</v>
      </c>
    </row>
    <row r="116" spans="1:79" x14ac:dyDescent="0.2">
      <c r="A116" t="s">
        <v>182</v>
      </c>
      <c r="C116" t="s">
        <v>2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t="s">
        <v>6</v>
      </c>
      <c r="AU116" s="5">
        <v>206.81488765054527</v>
      </c>
      <c r="AV116" s="5">
        <v>204.84667668493498</v>
      </c>
      <c r="AW116" s="5">
        <v>207.32026681021159</v>
      </c>
      <c r="AX116" s="5">
        <v>173.61359256684318</v>
      </c>
      <c r="AY116" s="5">
        <v>132.99121810390119</v>
      </c>
      <c r="AZ116" s="5">
        <v>121.98360110405187</v>
      </c>
      <c r="BA116" s="5">
        <v>83.147245577458051</v>
      </c>
      <c r="BB116" s="5">
        <v>36.658033608605805</v>
      </c>
      <c r="BC116" s="5">
        <v>29.024917384164162</v>
      </c>
      <c r="BD116" s="5">
        <v>28.016623440794415</v>
      </c>
      <c r="BE116" s="5">
        <v>25.864081012718596</v>
      </c>
      <c r="BF116" s="5">
        <v>22.667845496797675</v>
      </c>
      <c r="BG116" s="5">
        <v>21.455265389493555</v>
      </c>
      <c r="BH116" s="5">
        <v>20.974848699959516</v>
      </c>
      <c r="BI116" s="5">
        <v>21.037283830601844</v>
      </c>
      <c r="BJ116" s="5">
        <v>21.022245505094535</v>
      </c>
      <c r="BK116" s="5">
        <v>19.497906361530674</v>
      </c>
      <c r="BL116" s="5">
        <v>16.288081317687933</v>
      </c>
      <c r="BM116" s="5">
        <v>16.379230452527096</v>
      </c>
      <c r="BN116" s="5">
        <v>18.327293967312659</v>
      </c>
      <c r="BO116" s="5">
        <v>18.745275194961128</v>
      </c>
      <c r="BP116" s="5">
        <v>19.29783856014857</v>
      </c>
      <c r="BQ116" t="s">
        <v>6</v>
      </c>
      <c r="BR116" t="s">
        <v>6</v>
      </c>
      <c r="BS116" t="s">
        <v>6</v>
      </c>
      <c r="BT116" t="s">
        <v>6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  <c r="CA116" t="s">
        <v>6</v>
      </c>
    </row>
    <row r="117" spans="1:79" x14ac:dyDescent="0.2">
      <c r="A117" t="s">
        <v>183</v>
      </c>
      <c r="C117" t="s">
        <v>184</v>
      </c>
      <c r="D117" t="s">
        <v>6</v>
      </c>
      <c r="E117" t="s">
        <v>6</v>
      </c>
      <c r="F117" s="7">
        <v>143.69016286440458</v>
      </c>
      <c r="G117" s="7">
        <v>233.59254408390527</v>
      </c>
      <c r="H117" s="7">
        <v>314.10615004659707</v>
      </c>
      <c r="I117" s="7">
        <v>292.95593560478187</v>
      </c>
      <c r="J117" s="7">
        <v>262.85842597286046</v>
      </c>
      <c r="K117" s="7">
        <v>240.35192887834015</v>
      </c>
      <c r="L117" s="7">
        <v>249.56224549350327</v>
      </c>
      <c r="M117" s="7">
        <v>262.40438528915223</v>
      </c>
      <c r="N117" s="7">
        <v>228.67781344567388</v>
      </c>
      <c r="O117" s="7">
        <v>211.05731676656609</v>
      </c>
      <c r="P117" s="7">
        <v>175.07664958865652</v>
      </c>
      <c r="Q117" s="7">
        <v>180.26828039141074</v>
      </c>
      <c r="R117" s="7">
        <v>242.68673467763907</v>
      </c>
      <c r="S117" s="7">
        <v>339.30202593730928</v>
      </c>
      <c r="T117" s="7">
        <v>476.0486561631493</v>
      </c>
      <c r="U117" s="7">
        <v>590.97935510334469</v>
      </c>
      <c r="V117" s="7">
        <v>545.24942575013529</v>
      </c>
      <c r="W117" s="7">
        <v>564.77375567729064</v>
      </c>
      <c r="X117" s="7">
        <v>549.60610343484734</v>
      </c>
      <c r="Y117" s="7">
        <v>749.38424889488783</v>
      </c>
      <c r="Z117" s="7">
        <v>840.08549369843195</v>
      </c>
      <c r="AA117" s="5">
        <v>827.81943940827841</v>
      </c>
      <c r="AB117" s="5">
        <v>766.72764645300924</v>
      </c>
      <c r="AC117" s="5">
        <v>861.69888486296486</v>
      </c>
      <c r="AD117" s="5">
        <v>910.0913614728579</v>
      </c>
      <c r="AE117" s="5">
        <v>939.68984108553002</v>
      </c>
      <c r="AF117" s="5">
        <v>1259.3007040532891</v>
      </c>
      <c r="AG117" s="5">
        <v>1075.4876912412467</v>
      </c>
      <c r="AH117" s="5">
        <v>1257.4807451536383</v>
      </c>
      <c r="AI117" s="5">
        <v>1559.9697781187144</v>
      </c>
      <c r="AJ117" s="5">
        <v>2101.8344274354904</v>
      </c>
      <c r="AK117" s="7">
        <v>2001.7499196102644</v>
      </c>
      <c r="AL117" s="7">
        <v>1790.6087572935919</v>
      </c>
      <c r="AM117" s="7">
        <v>1650.9863456411044</v>
      </c>
      <c r="AN117" s="7">
        <v>1473.8680616529189</v>
      </c>
      <c r="AO117" s="5">
        <v>1262.8263741032938</v>
      </c>
      <c r="AP117" s="5">
        <v>1834.7510018509142</v>
      </c>
      <c r="AQ117" s="5">
        <v>1192.1450217761239</v>
      </c>
      <c r="AR117" s="5">
        <v>1428.5799309012634</v>
      </c>
      <c r="AS117" s="5">
        <v>1534.3242391877025</v>
      </c>
      <c r="AT117" s="5">
        <v>2088.6877830570247</v>
      </c>
      <c r="AU117" s="5">
        <v>2075.2740380029254</v>
      </c>
      <c r="AV117" s="5">
        <v>2205.2706822357559</v>
      </c>
      <c r="AW117" s="5">
        <v>2389.7413359356351</v>
      </c>
      <c r="AX117" s="5">
        <v>2540.8271150418232</v>
      </c>
      <c r="AY117" s="5">
        <v>2443.1435978967588</v>
      </c>
      <c r="AZ117" s="5">
        <v>2296.1707872644715</v>
      </c>
      <c r="BA117" s="5">
        <v>1687.5918408795487</v>
      </c>
      <c r="BB117" s="5">
        <v>2283.1532137267131</v>
      </c>
      <c r="BC117" s="5">
        <v>2072.7142770562646</v>
      </c>
      <c r="BD117" s="5">
        <v>2578.7280455960486</v>
      </c>
      <c r="BE117" s="5">
        <v>2930.2252776758601</v>
      </c>
      <c r="BF117" s="5">
        <v>3732.3732841986898</v>
      </c>
      <c r="BG117" s="5">
        <v>3605.4598889275235</v>
      </c>
      <c r="BH117" s="5">
        <v>3856.7104916597973</v>
      </c>
      <c r="BI117" s="5">
        <v>3774.0217797253554</v>
      </c>
      <c r="BJ117" s="5">
        <v>4214.0098607765749</v>
      </c>
      <c r="BK117" s="5">
        <v>4309.2866561822811</v>
      </c>
      <c r="BL117" s="5">
        <v>4067.999746494741</v>
      </c>
      <c r="BM117" s="5">
        <v>3556.4402900023479</v>
      </c>
      <c r="BN117" s="5">
        <v>3986.765971406001</v>
      </c>
      <c r="BO117" s="5">
        <v>3802.1812516542232</v>
      </c>
      <c r="BP117" s="5">
        <v>4142.9291312837058</v>
      </c>
      <c r="BQ117" s="5">
        <v>4175.1326817245963</v>
      </c>
      <c r="BR117" s="5">
        <v>4495.4508896904044</v>
      </c>
      <c r="BS117" s="5">
        <v>4303.8832340000026</v>
      </c>
      <c r="BT117" s="5">
        <v>3616.5641305926974</v>
      </c>
      <c r="BU117" s="5">
        <v>3299.9600120896948</v>
      </c>
      <c r="BV117" s="5">
        <v>3187.4290341761025</v>
      </c>
      <c r="BW117" s="5">
        <v>3382.785010753807</v>
      </c>
      <c r="BX117" s="5">
        <v>3543.1675428814274</v>
      </c>
      <c r="BY117" s="5">
        <v>3638.6586165695717</v>
      </c>
      <c r="BZ117" s="5">
        <v>3925.4192748900869</v>
      </c>
      <c r="CA117" s="5">
        <v>4216.5968620746435</v>
      </c>
    </row>
    <row r="118" spans="1:79" x14ac:dyDescent="0.2">
      <c r="A118" t="s">
        <v>185</v>
      </c>
      <c r="C118" t="s">
        <v>186</v>
      </c>
      <c r="D118" t="s">
        <v>6</v>
      </c>
      <c r="E118" t="s">
        <v>6</v>
      </c>
      <c r="F118" s="5">
        <v>158.5395508287362</v>
      </c>
      <c r="G118" s="5">
        <v>245.42176759921591</v>
      </c>
      <c r="H118" s="5">
        <v>349.54754483647338</v>
      </c>
      <c r="I118" s="5">
        <v>438.06862264271626</v>
      </c>
      <c r="J118" s="5">
        <v>385.36492296556486</v>
      </c>
      <c r="K118" s="5">
        <v>386.25277542809795</v>
      </c>
      <c r="L118" s="5">
        <v>396.09393691752126</v>
      </c>
      <c r="M118" s="5">
        <v>435.66138742426438</v>
      </c>
      <c r="N118" s="5">
        <v>472.02637070138633</v>
      </c>
      <c r="O118" s="5">
        <v>456.13159114361093</v>
      </c>
      <c r="P118" s="5">
        <v>436.9206018150731</v>
      </c>
      <c r="Q118" s="5">
        <v>470.47013392024468</v>
      </c>
      <c r="R118" s="5">
        <v>534.70059810574412</v>
      </c>
      <c r="S118" s="5">
        <v>524.26651916939954</v>
      </c>
      <c r="T118" s="5">
        <v>487.89811222565402</v>
      </c>
      <c r="U118" s="5">
        <v>382.3224002239379</v>
      </c>
      <c r="V118" s="5">
        <v>366.87481919210654</v>
      </c>
      <c r="W118" s="5">
        <v>367.32010724387345</v>
      </c>
      <c r="X118" s="5">
        <v>420.06291247043333</v>
      </c>
      <c r="Y118" s="5">
        <v>469.59024798503532</v>
      </c>
      <c r="Z118" s="5">
        <v>478.92737014174281</v>
      </c>
      <c r="AA118" s="5">
        <v>467.58046643088721</v>
      </c>
      <c r="AB118" s="5">
        <v>438.84915303850369</v>
      </c>
      <c r="AC118" s="5">
        <v>362.72428169400308</v>
      </c>
      <c r="AD118" s="5">
        <v>313.84367036745726</v>
      </c>
      <c r="AE118" s="5">
        <v>301.07345969124418</v>
      </c>
      <c r="AF118" s="5">
        <v>350.26626036856692</v>
      </c>
      <c r="AG118" s="5">
        <v>388.53412057467017</v>
      </c>
      <c r="AH118" s="5">
        <v>370.6263669468288</v>
      </c>
      <c r="AI118" s="5">
        <v>387.21692021628701</v>
      </c>
      <c r="AJ118" s="5">
        <v>433.02097738850495</v>
      </c>
      <c r="AK118" s="5">
        <v>417.93388524621616</v>
      </c>
      <c r="AL118" s="5">
        <v>401.69067688254978</v>
      </c>
      <c r="AM118" s="5">
        <v>392.45247923266669</v>
      </c>
      <c r="AN118" s="5">
        <v>391.00400026789475</v>
      </c>
      <c r="AO118" s="5">
        <v>364.51404137017551</v>
      </c>
      <c r="AP118" s="5">
        <v>232.94700341848753</v>
      </c>
      <c r="AQ118" s="5">
        <v>241.81641932569889</v>
      </c>
      <c r="AR118" s="5">
        <v>429.66140958963047</v>
      </c>
      <c r="AS118" s="5">
        <v>510.90436051715608</v>
      </c>
      <c r="AT118" s="5">
        <v>443.42623629901021</v>
      </c>
      <c r="AU118" s="5">
        <v>513.70077054375736</v>
      </c>
      <c r="AV118" s="5">
        <v>591.27387070693896</v>
      </c>
      <c r="AW118" s="5">
        <v>628.34725328843808</v>
      </c>
      <c r="AX118" s="5">
        <v>668.03315900728512</v>
      </c>
      <c r="AY118" s="5">
        <v>713.34176495152633</v>
      </c>
      <c r="AZ118" s="5">
        <v>593.18321193782754</v>
      </c>
      <c r="BA118" s="5">
        <v>488.87397378467432</v>
      </c>
      <c r="BB118" s="5">
        <v>484.19267487551622</v>
      </c>
      <c r="BC118" s="5">
        <v>652.96132486309318</v>
      </c>
      <c r="BD118" s="5">
        <v>585.22318770607978</v>
      </c>
      <c r="BE118" s="5">
        <v>426.18599030267666</v>
      </c>
      <c r="BF118" s="5">
        <v>634.13664371715129</v>
      </c>
      <c r="BG118" s="5">
        <v>708.07200588203705</v>
      </c>
      <c r="BH118" s="5">
        <v>716.17161841186919</v>
      </c>
      <c r="BI118" t="s">
        <v>6</v>
      </c>
      <c r="BJ118" t="s">
        <v>6</v>
      </c>
      <c r="BK118" t="s">
        <v>6</v>
      </c>
      <c r="BL118" t="s">
        <v>6</v>
      </c>
      <c r="BM118" t="s">
        <v>6</v>
      </c>
      <c r="BN118" t="s">
        <v>6</v>
      </c>
      <c r="BO118" s="6">
        <v>2969.2360763158836</v>
      </c>
      <c r="BP118" s="6">
        <v>3264.9714886866709</v>
      </c>
      <c r="BQ118" s="6">
        <v>3288.2627521385375</v>
      </c>
      <c r="BR118" s="6">
        <v>3816.696153020222</v>
      </c>
      <c r="BS118" s="6">
        <v>3650.5456506635719</v>
      </c>
      <c r="BT118" s="6">
        <v>3464.454522822447</v>
      </c>
      <c r="BU118" s="6">
        <v>2356.6759419764567</v>
      </c>
      <c r="BV118" s="5">
        <v>2279.5594080520304</v>
      </c>
      <c r="BW118" s="5">
        <v>3220.0275169731281</v>
      </c>
      <c r="BX118" s="5">
        <v>3785.8760925924757</v>
      </c>
      <c r="BY118" s="6">
        <v>3661.849922703158</v>
      </c>
      <c r="BZ118" s="6">
        <v>3140.2245375400666</v>
      </c>
      <c r="CA118" s="6">
        <v>5224.1126093311168</v>
      </c>
    </row>
    <row r="119" spans="1:79" x14ac:dyDescent="0.2">
      <c r="A119" t="s">
        <v>187</v>
      </c>
      <c r="C119" t="s">
        <v>188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  <c r="M119" s="7">
        <v>598.64276404960947</v>
      </c>
      <c r="N119" s="7">
        <v>618.3173352355908</v>
      </c>
      <c r="O119" s="7">
        <v>614.59008508782551</v>
      </c>
      <c r="P119" s="7">
        <v>630.39579454670502</v>
      </c>
      <c r="Q119" s="7">
        <v>708.15204452970931</v>
      </c>
      <c r="R119" s="7">
        <v>799.5332796294972</v>
      </c>
      <c r="S119" s="7">
        <v>734.04181534985366</v>
      </c>
      <c r="T119" s="7">
        <v>711.77989142973831</v>
      </c>
      <c r="U119" s="7">
        <v>793.12171221462461</v>
      </c>
      <c r="V119" s="7">
        <v>881.75920316182339</v>
      </c>
      <c r="W119" s="7">
        <v>1023.4924896303801</v>
      </c>
      <c r="X119" s="7">
        <v>1234.7500968977934</v>
      </c>
      <c r="Y119" s="7">
        <v>1339.1382457925606</v>
      </c>
      <c r="Z119" s="7">
        <v>1250.0417629329042</v>
      </c>
      <c r="AA119" s="7">
        <v>1458.694213808011</v>
      </c>
      <c r="AB119" s="7">
        <v>1943.7177782462754</v>
      </c>
      <c r="AC119" s="7">
        <v>2520.2137654620565</v>
      </c>
      <c r="AD119" t="s">
        <v>6</v>
      </c>
      <c r="AE119" s="7">
        <v>3247.4959225230878</v>
      </c>
      <c r="AF119" s="7">
        <v>3103.3495797996598</v>
      </c>
      <c r="AG119" s="7">
        <v>2374.6347563769746</v>
      </c>
      <c r="AH119" s="7">
        <v>2840.9706129479951</v>
      </c>
      <c r="AI119" s="7">
        <v>2461.2770178880833</v>
      </c>
      <c r="AJ119" s="7">
        <v>2557.1347620920014</v>
      </c>
      <c r="AK119" s="7">
        <v>2462.898252519718</v>
      </c>
      <c r="AL119" s="7">
        <v>2416.1036627234084</v>
      </c>
      <c r="AM119" s="7">
        <v>1549.629952177077</v>
      </c>
      <c r="AN119" s="7">
        <v>1664.6079353871196</v>
      </c>
      <c r="AO119" s="7">
        <v>1757.0430817801905</v>
      </c>
      <c r="AP119" s="7">
        <v>1871.4611673602633</v>
      </c>
      <c r="AQ119" s="7">
        <v>2407.1671321713757</v>
      </c>
      <c r="AR119" s="7">
        <v>2265.3063624862843</v>
      </c>
      <c r="AS119" s="7">
        <v>2250.3578421136476</v>
      </c>
      <c r="AT119" s="7">
        <v>2047.0429360986798</v>
      </c>
      <c r="AU119" s="7">
        <v>2066.4974100343443</v>
      </c>
      <c r="AV119" s="7">
        <v>2238.1206060551754</v>
      </c>
      <c r="AW119" s="7">
        <v>2344.0386131067235</v>
      </c>
      <c r="AX119" s="7">
        <v>2608.5858134798473</v>
      </c>
      <c r="AY119" s="7">
        <v>2734.8173640106943</v>
      </c>
      <c r="AZ119" s="7">
        <v>2442.3584149582316</v>
      </c>
      <c r="BA119" s="7">
        <v>2411.9208593735398</v>
      </c>
      <c r="BB119" s="7">
        <v>2381.2810109476836</v>
      </c>
      <c r="BC119" s="7">
        <v>2515.9443169288775</v>
      </c>
      <c r="BD119" s="7">
        <v>2373.0581412492893</v>
      </c>
      <c r="BE119" s="7">
        <v>2498.3004738646473</v>
      </c>
      <c r="BF119" s="5">
        <v>2784.0068487999652</v>
      </c>
      <c r="BG119" s="7">
        <v>2623.223413576522</v>
      </c>
      <c r="BH119" s="5">
        <v>2672.9130951352327</v>
      </c>
      <c r="BI119" s="5">
        <v>2763.8028863175273</v>
      </c>
      <c r="BJ119" s="5">
        <v>3027.3331487648397</v>
      </c>
      <c r="BK119" s="5">
        <v>3027.7870260957948</v>
      </c>
      <c r="BL119" s="5">
        <v>2911.7382386761105</v>
      </c>
      <c r="BM119" s="5">
        <v>3058.6503751879286</v>
      </c>
      <c r="BN119" s="5">
        <v>3107.3655016886687</v>
      </c>
      <c r="BO119" s="5">
        <v>3155.209935307555</v>
      </c>
      <c r="BP119" s="5">
        <v>3601.7854970431795</v>
      </c>
      <c r="BQ119" s="5">
        <v>3341.4079247605318</v>
      </c>
      <c r="BR119" s="5">
        <v>3656.6345932779759</v>
      </c>
      <c r="BS119" s="5">
        <v>3764.7087914350427</v>
      </c>
      <c r="BT119" s="5">
        <v>4473.5028850860326</v>
      </c>
      <c r="BU119" s="5">
        <v>4751.6734416833269</v>
      </c>
      <c r="BV119" s="5">
        <v>4737.3536407934125</v>
      </c>
      <c r="BW119" s="5">
        <v>4879.3911711716009</v>
      </c>
      <c r="BX119" s="5">
        <v>5505.4424423070604</v>
      </c>
      <c r="BY119" s="5">
        <v>5524.2962245847448</v>
      </c>
      <c r="BZ119" s="5">
        <v>5142.6048078582517</v>
      </c>
      <c r="CA119" s="5">
        <v>6097.426796468395</v>
      </c>
    </row>
    <row r="120" spans="1:79" x14ac:dyDescent="0.2">
      <c r="A120" t="s">
        <v>189</v>
      </c>
      <c r="C120" t="s">
        <v>5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s="7">
        <v>998.80665761329919</v>
      </c>
      <c r="Z120" s="7">
        <v>1208.9171854802239</v>
      </c>
      <c r="AA120" s="7">
        <v>1278.9867759384874</v>
      </c>
      <c r="AB120" s="5">
        <v>1238.1570752222633</v>
      </c>
      <c r="AC120" s="5">
        <v>1139.6656236896254</v>
      </c>
      <c r="AD120" s="5">
        <v>1288.6424661362498</v>
      </c>
      <c r="AE120" s="5">
        <v>1556.5663143615889</v>
      </c>
      <c r="AF120" s="5">
        <v>1850.7688550214561</v>
      </c>
      <c r="AG120" s="5">
        <v>1810.8838637127667</v>
      </c>
      <c r="AH120" s="5">
        <v>1796.1256332092801</v>
      </c>
      <c r="AI120" s="5">
        <v>2018.575921671795</v>
      </c>
      <c r="AJ120" s="5">
        <v>2238.5449870388543</v>
      </c>
      <c r="AK120" s="5">
        <v>2365.6679449877311</v>
      </c>
      <c r="AL120" s="5">
        <v>2291.4623586421749</v>
      </c>
      <c r="AM120" s="5">
        <v>2825.695040895383</v>
      </c>
      <c r="AN120" s="5">
        <v>3314.1395165694553</v>
      </c>
      <c r="AO120" s="5">
        <v>3235.9162946566948</v>
      </c>
      <c r="AP120" s="5">
        <v>3208.5748903089107</v>
      </c>
      <c r="AQ120" s="5">
        <v>3460.6110147094128</v>
      </c>
      <c r="AR120" s="5">
        <v>3832.7510988589484</v>
      </c>
      <c r="AS120" s="5">
        <v>4398.4513521423632</v>
      </c>
      <c r="AT120" s="5">
        <v>4550.3059087439751</v>
      </c>
      <c r="AU120" s="5">
        <v>4837.3288274324123</v>
      </c>
      <c r="AV120" s="5">
        <v>4991.1033284654604</v>
      </c>
      <c r="AW120" s="5">
        <v>5158.5659503014704</v>
      </c>
      <c r="AX120" s="5">
        <v>6179.0503633838343</v>
      </c>
      <c r="AY120" s="5">
        <v>6768.8212537818645</v>
      </c>
      <c r="AZ120" s="5">
        <v>7596.2673857285699</v>
      </c>
      <c r="BA120" s="5">
        <v>8602.3488644258377</v>
      </c>
      <c r="BB120" s="5">
        <v>8763.1550250219771</v>
      </c>
      <c r="BC120" s="5">
        <v>8475.4397574119648</v>
      </c>
      <c r="BD120" s="5">
        <v>8678.0954146916501</v>
      </c>
      <c r="BE120" s="5">
        <v>9149.1983244088096</v>
      </c>
      <c r="BF120" s="5">
        <v>9239.3736210044481</v>
      </c>
      <c r="BG120" s="5">
        <v>9414.0443309020084</v>
      </c>
      <c r="BH120" s="5">
        <v>10000.459925263061</v>
      </c>
      <c r="BI120" s="5">
        <v>10090.57256490809</v>
      </c>
      <c r="BJ120" s="5">
        <v>10479.688402599519</v>
      </c>
      <c r="BK120" s="5">
        <v>10551.350889190151</v>
      </c>
      <c r="BL120" s="5">
        <v>10903.392052332543</v>
      </c>
      <c r="BM120" s="5">
        <v>10693.678184726967</v>
      </c>
      <c r="BN120" s="5">
        <v>10312.794887678156</v>
      </c>
      <c r="BO120" s="5">
        <v>10072.2493492596</v>
      </c>
      <c r="BP120" s="5">
        <v>10039.546223890193</v>
      </c>
      <c r="BQ120" s="5">
        <v>10332.929509622727</v>
      </c>
      <c r="BR120" s="5">
        <v>11020.859122025839</v>
      </c>
      <c r="BS120" s="5">
        <v>11717.61996369171</v>
      </c>
      <c r="BT120" s="5">
        <v>12029.574517061872</v>
      </c>
      <c r="BU120" s="5">
        <v>12135.237521927471</v>
      </c>
      <c r="BV120" s="5">
        <v>11995.464394889406</v>
      </c>
      <c r="BW120" s="5">
        <v>11447.63227318206</v>
      </c>
      <c r="BX120" s="5">
        <v>12249.48682112001</v>
      </c>
      <c r="BY120" s="5">
        <v>12900.733116046529</v>
      </c>
      <c r="BZ120" s="5">
        <v>14181.464336746845</v>
      </c>
      <c r="CA120" s="5">
        <v>14601.646096727151</v>
      </c>
    </row>
    <row r="121" spans="1:79" x14ac:dyDescent="0.2">
      <c r="A121" t="s">
        <v>190</v>
      </c>
      <c r="C121" t="s">
        <v>2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s="7">
        <v>539.40177502731058</v>
      </c>
      <c r="M121" s="7">
        <v>478.37010536096841</v>
      </c>
      <c r="N121" s="7">
        <v>490.84881342359</v>
      </c>
      <c r="O121" s="7">
        <v>457.34878121541482</v>
      </c>
      <c r="P121" s="7">
        <v>395.88664384709773</v>
      </c>
      <c r="Q121" s="7">
        <v>517.49532627738824</v>
      </c>
      <c r="R121" s="7">
        <v>549.6700021470275</v>
      </c>
      <c r="S121" s="7">
        <v>564.47796205562292</v>
      </c>
      <c r="T121" s="7">
        <v>608.9633170939685</v>
      </c>
      <c r="U121" s="7">
        <v>655.34929496488905</v>
      </c>
      <c r="V121" s="7">
        <v>752.12618777322598</v>
      </c>
      <c r="W121" s="7">
        <v>904.3610894737883</v>
      </c>
      <c r="X121" s="7">
        <v>1055.4890848257553</v>
      </c>
      <c r="Y121" s="7">
        <v>1241.0729888246892</v>
      </c>
      <c r="Z121" s="7">
        <v>1493.4100345758791</v>
      </c>
      <c r="AA121" s="7">
        <v>1540.7211554508629</v>
      </c>
      <c r="AB121" s="7">
        <v>1445.0716335101629</v>
      </c>
      <c r="AC121" s="7">
        <v>1346.2958989996621</v>
      </c>
      <c r="AD121" s="7">
        <v>1461.635046728501</v>
      </c>
      <c r="AE121" s="7">
        <v>1796.1123754012012</v>
      </c>
      <c r="AF121" s="7">
        <v>2161.3398782988811</v>
      </c>
      <c r="AG121" s="7">
        <v>2730.552489391358</v>
      </c>
      <c r="AH121" s="7">
        <v>3175.4836852983472</v>
      </c>
      <c r="AI121" s="7">
        <v>3046.7037939421721</v>
      </c>
      <c r="AJ121" s="7">
        <v>2971.2174901101703</v>
      </c>
      <c r="AK121" s="7">
        <v>3168.2507701069499</v>
      </c>
      <c r="AL121" s="7">
        <v>3207.1838396711191</v>
      </c>
      <c r="AM121" s="7">
        <v>3507.1296896877748</v>
      </c>
      <c r="AN121" s="7">
        <v>3773.2947680058787</v>
      </c>
      <c r="AO121" s="7">
        <v>3601.1048877228241</v>
      </c>
      <c r="AP121" s="7">
        <v>3569.8774763941187</v>
      </c>
      <c r="AQ121" s="7">
        <v>3599.2940526273446</v>
      </c>
      <c r="AR121" s="7">
        <v>3722.244963224086</v>
      </c>
      <c r="AS121" s="7">
        <v>3995.1339338344096</v>
      </c>
      <c r="AT121" s="7">
        <v>4423.4675146658656</v>
      </c>
      <c r="AU121" s="7">
        <v>4819.6300692474379</v>
      </c>
      <c r="AV121" s="7">
        <v>4955.7650327093552</v>
      </c>
      <c r="AW121" s="7">
        <v>5361.3025084218889</v>
      </c>
      <c r="AX121" s="7">
        <v>5349.875149933473</v>
      </c>
      <c r="AY121" s="7">
        <v>5262.0578286463633</v>
      </c>
      <c r="AZ121" s="7">
        <v>5111.4526872290389</v>
      </c>
      <c r="BA121" s="7">
        <v>4034.1800967720537</v>
      </c>
      <c r="BB121" s="7">
        <v>3584.805903067393</v>
      </c>
      <c r="BC121" s="5">
        <v>3422.8146664997303</v>
      </c>
      <c r="BD121" s="5">
        <v>3411.9000622184858</v>
      </c>
      <c r="BE121" s="5">
        <v>3397.5201129719549</v>
      </c>
      <c r="BF121" s="5">
        <v>3391.7486079544415</v>
      </c>
      <c r="BG121" s="5">
        <v>3325.3674673693022</v>
      </c>
      <c r="BH121" s="5">
        <v>3044.0750421176458</v>
      </c>
      <c r="BI121" s="5">
        <v>3092.1678882842129</v>
      </c>
      <c r="BJ121" s="5">
        <v>3505.151538417344</v>
      </c>
      <c r="BK121" s="5">
        <v>4368.5367191138821</v>
      </c>
      <c r="BL121" s="5">
        <v>5390.6928597499691</v>
      </c>
      <c r="BM121" s="5">
        <v>5775.0154858510832</v>
      </c>
      <c r="BN121" s="5">
        <v>5315.5910772003599</v>
      </c>
      <c r="BO121" s="5">
        <v>5516.4928451329133</v>
      </c>
      <c r="BP121" s="5">
        <v>5482.216524736019</v>
      </c>
      <c r="BQ121" s="5">
        <v>5714.8923080026043</v>
      </c>
      <c r="BR121" s="5">
        <v>5918.8098512133256</v>
      </c>
      <c r="BS121" s="5">
        <v>6232.582068459843</v>
      </c>
      <c r="BT121" s="5">
        <v>6567.0480530355899</v>
      </c>
      <c r="BU121" s="5">
        <v>6716.5214639768446</v>
      </c>
      <c r="BV121" s="5">
        <v>6883.7541766582344</v>
      </c>
      <c r="BW121" s="5">
        <v>7133.3060280463724</v>
      </c>
      <c r="BX121" s="5">
        <v>7020.6757616540335</v>
      </c>
      <c r="BY121" s="5">
        <v>6149.1643545655579</v>
      </c>
      <c r="BZ121" s="5">
        <v>5745.6923315740451</v>
      </c>
      <c r="CA121" s="5">
        <v>5570.3504203592529</v>
      </c>
    </row>
    <row r="122" spans="1:79" x14ac:dyDescent="0.2">
      <c r="A122" t="s">
        <v>191</v>
      </c>
      <c r="C122" t="s">
        <v>192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  <c r="AI122" t="s">
        <v>6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6</v>
      </c>
      <c r="BA122" t="s">
        <v>6</v>
      </c>
      <c r="BB122" t="s">
        <v>6</v>
      </c>
      <c r="BC122" t="s">
        <v>6</v>
      </c>
      <c r="BD122" t="s">
        <v>6</v>
      </c>
      <c r="BE122" t="s">
        <v>6</v>
      </c>
      <c r="BF122" t="s">
        <v>6</v>
      </c>
      <c r="BG122" t="s">
        <v>6</v>
      </c>
      <c r="BH122" s="5">
        <v>19.552468659986115</v>
      </c>
      <c r="BI122" s="5">
        <v>39.098326002549683</v>
      </c>
      <c r="BJ122" s="7">
        <v>49.186424878418464</v>
      </c>
      <c r="BK122" s="5">
        <v>44.938975430440124</v>
      </c>
      <c r="BL122" s="5">
        <v>68.8559857111605</v>
      </c>
      <c r="BM122" s="5">
        <v>46.651436448534007</v>
      </c>
      <c r="BN122" s="5">
        <v>31.976857878971575</v>
      </c>
      <c r="BO122" s="5">
        <v>46.515129639272288</v>
      </c>
      <c r="BP122" s="5">
        <v>39.770138043384989</v>
      </c>
      <c r="BQ122" s="5">
        <v>36.872586294847736</v>
      </c>
      <c r="BR122" s="5">
        <v>45.707024835276229</v>
      </c>
      <c r="BS122" s="5">
        <v>32.906111111111073</v>
      </c>
      <c r="BT122" s="5">
        <v>31.767239232409398</v>
      </c>
      <c r="BU122" s="5">
        <v>25.156778389194578</v>
      </c>
      <c r="BV122" s="5">
        <v>41.590222148814924</v>
      </c>
      <c r="BW122" s="5">
        <v>46.264757991618097</v>
      </c>
      <c r="BX122" s="5">
        <v>45.503612013630132</v>
      </c>
      <c r="BY122" s="5">
        <v>48.042141746278439</v>
      </c>
      <c r="BZ122" s="5">
        <v>55.111000000000004</v>
      </c>
      <c r="CA122" s="5">
        <v>44.938753800598576</v>
      </c>
    </row>
    <row r="123" spans="1:79" x14ac:dyDescent="0.2">
      <c r="A123" t="s">
        <v>193</v>
      </c>
      <c r="C123" t="s">
        <v>194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  <c r="AI123" t="s">
        <v>6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s="5">
        <v>866.05598544495547</v>
      </c>
      <c r="AQ123" s="5">
        <v>1403.4478041164894</v>
      </c>
      <c r="AR123" s="5">
        <v>1852.8464962123282</v>
      </c>
      <c r="AS123" s="5">
        <v>2208.4752476803174</v>
      </c>
      <c r="AT123" s="5">
        <v>1570.7377765212566</v>
      </c>
      <c r="AU123" s="5">
        <v>991.31555340510135</v>
      </c>
      <c r="AV123" s="5">
        <v>776.85955164053689</v>
      </c>
      <c r="AW123" s="5">
        <v>1059.4081562666054</v>
      </c>
      <c r="AX123" t="s">
        <v>6</v>
      </c>
      <c r="AY123" t="s">
        <v>6</v>
      </c>
      <c r="AZ123" t="s">
        <v>6</v>
      </c>
      <c r="BA123" t="s">
        <v>6</v>
      </c>
      <c r="BB123" t="s">
        <v>6</v>
      </c>
      <c r="BC123" t="s">
        <v>6</v>
      </c>
      <c r="BD123" t="s">
        <v>6</v>
      </c>
      <c r="BE123" t="s">
        <v>6</v>
      </c>
      <c r="BF123" s="5">
        <v>1957.8396306321749</v>
      </c>
      <c r="BG123" s="5">
        <v>2004.8422714790165</v>
      </c>
      <c r="BH123" s="5">
        <v>2091.6714276087473</v>
      </c>
      <c r="BI123" s="5">
        <v>2462.2246445680939</v>
      </c>
      <c r="BJ123" s="5">
        <v>3172.2102222603507</v>
      </c>
      <c r="BK123" s="5">
        <v>3124.7556780345935</v>
      </c>
      <c r="BL123" s="5">
        <v>3443.3979922405488</v>
      </c>
      <c r="BM123" s="5">
        <v>3826.9200371834495</v>
      </c>
      <c r="BN123" s="5">
        <v>3572.1912142055348</v>
      </c>
      <c r="BO123" s="6">
        <v>4159.8481091110325</v>
      </c>
      <c r="BP123" s="6">
        <v>4349.9101281602098</v>
      </c>
      <c r="BQ123" s="6">
        <v>4820.6799029162185</v>
      </c>
      <c r="BR123" s="6">
        <v>5269.486844546961</v>
      </c>
      <c r="BS123" s="6">
        <v>5702.8199927525902</v>
      </c>
      <c r="BT123" s="6">
        <v>5685.8785158694618</v>
      </c>
      <c r="BU123" s="6">
        <v>6124.3782720411682</v>
      </c>
      <c r="BV123" t="s">
        <v>6</v>
      </c>
      <c r="BW123" t="s">
        <v>6</v>
      </c>
      <c r="BX123" t="s">
        <v>6</v>
      </c>
      <c r="BY123" t="s">
        <v>6</v>
      </c>
      <c r="BZ123" t="s">
        <v>6</v>
      </c>
      <c r="CA123" t="s">
        <v>6</v>
      </c>
    </row>
    <row r="124" spans="1:79" x14ac:dyDescent="0.2">
      <c r="A124" s="4" t="s">
        <v>20</v>
      </c>
    </row>
    <row r="125" spans="1:79" x14ac:dyDescent="0.2">
      <c r="A125" t="s">
        <v>195</v>
      </c>
      <c r="C125" t="s">
        <v>0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  <c r="AI125" t="s">
        <v>6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6</v>
      </c>
      <c r="AT125" t="s">
        <v>6</v>
      </c>
      <c r="AU125" t="s">
        <v>6</v>
      </c>
      <c r="AV125" s="6">
        <v>506.67478251315839</v>
      </c>
      <c r="AW125" s="6">
        <v>324.56541498146385</v>
      </c>
      <c r="AX125" s="5">
        <v>334.96051495113642</v>
      </c>
      <c r="AY125" s="5">
        <v>361.59409469732259</v>
      </c>
      <c r="AZ125" s="5">
        <v>338.03681902569286</v>
      </c>
      <c r="BA125" s="5">
        <v>335.6285264177971</v>
      </c>
      <c r="BB125" s="5">
        <v>280.55704931012838</v>
      </c>
      <c r="BC125" s="5">
        <v>294.00167106157426</v>
      </c>
      <c r="BD125" s="5">
        <v>432.27238461246179</v>
      </c>
      <c r="BE125" s="5">
        <v>473.78168670301278</v>
      </c>
      <c r="BF125" s="5">
        <v>560.83219128237045</v>
      </c>
      <c r="BG125" s="5">
        <v>640.83302279159489</v>
      </c>
      <c r="BH125" s="5">
        <v>807.74355136385509</v>
      </c>
      <c r="BI125" s="5">
        <v>944.39143426302223</v>
      </c>
      <c r="BJ125" s="5">
        <v>1419.9020167899916</v>
      </c>
      <c r="BK125" s="5">
        <v>1348.2485719758845</v>
      </c>
      <c r="BL125" s="5">
        <v>1271.5301820630227</v>
      </c>
      <c r="BM125" s="5">
        <v>1396.590544646142</v>
      </c>
      <c r="BN125" s="5">
        <v>1539.1189018544017</v>
      </c>
      <c r="BO125" s="5">
        <v>1796.1014500205822</v>
      </c>
      <c r="BP125" s="5">
        <v>2026.3787010533702</v>
      </c>
      <c r="BQ125" s="5">
        <v>2019.6219609467857</v>
      </c>
      <c r="BR125" s="5">
        <v>2078.2482801847991</v>
      </c>
      <c r="BS125" s="5">
        <v>1756.3859164445223</v>
      </c>
      <c r="BT125" s="5">
        <v>1686.444990596407</v>
      </c>
      <c r="BU125" s="5">
        <v>1813.9916304628091</v>
      </c>
      <c r="BV125" s="5">
        <v>2366.5176463052671</v>
      </c>
      <c r="BW125" s="5">
        <v>2002.1492187148926</v>
      </c>
      <c r="BX125" s="5">
        <v>1988.6772226392766</v>
      </c>
      <c r="BY125" s="5">
        <v>1349.6111346618693</v>
      </c>
      <c r="BZ125" s="5">
        <v>1164.302584933854</v>
      </c>
      <c r="CA125" s="5">
        <v>1145.0258769711013</v>
      </c>
    </row>
    <row r="126" spans="1:79" x14ac:dyDescent="0.2">
      <c r="A126" t="s">
        <v>196</v>
      </c>
      <c r="C126" t="s">
        <v>197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6</v>
      </c>
      <c r="AH126" t="s">
        <v>6</v>
      </c>
      <c r="AI126" t="s">
        <v>6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6</v>
      </c>
      <c r="AT126" t="s">
        <v>6</v>
      </c>
      <c r="AU126" s="7">
        <v>92.552278695765864</v>
      </c>
      <c r="AV126" s="7">
        <v>52.548142272095568</v>
      </c>
      <c r="AW126" s="7">
        <v>70.950811801418993</v>
      </c>
      <c r="AX126" s="7">
        <v>88.842743900214842</v>
      </c>
      <c r="AY126" s="7">
        <v>84.314333939957791</v>
      </c>
      <c r="AZ126" s="7">
        <v>93.293492096690485</v>
      </c>
      <c r="BA126" s="7">
        <v>80.639538039691999</v>
      </c>
      <c r="BB126" s="7">
        <v>84.474168282673588</v>
      </c>
      <c r="BC126" s="7">
        <v>102.30473995333958</v>
      </c>
      <c r="BD126" s="7">
        <v>88.10691841095057</v>
      </c>
      <c r="BE126" s="7">
        <v>102.31969900516739</v>
      </c>
      <c r="BF126" s="7">
        <v>116.22084839194109</v>
      </c>
      <c r="BG126" s="7">
        <v>124.81899926273651</v>
      </c>
      <c r="BH126" s="7">
        <v>138.22452000128899</v>
      </c>
      <c r="BI126" s="7">
        <v>152.07440004647023</v>
      </c>
      <c r="BJ126" s="7">
        <v>165.9766148077704</v>
      </c>
      <c r="BK126" s="7">
        <v>167.77671828524953</v>
      </c>
      <c r="BL126" s="7">
        <v>183.78803926223685</v>
      </c>
      <c r="BM126" s="7">
        <v>225.75205572408649</v>
      </c>
      <c r="BN126" s="7">
        <v>221.9716468261627</v>
      </c>
      <c r="BO126" s="7">
        <v>221.26541888691941</v>
      </c>
      <c r="BP126" s="7">
        <v>236.68360168316872</v>
      </c>
      <c r="BQ126" s="7">
        <v>262.17997072571131</v>
      </c>
      <c r="BR126" s="7">
        <v>270.41106819710541</v>
      </c>
      <c r="BS126" s="7">
        <v>288.75336820752909</v>
      </c>
      <c r="BT126" s="7">
        <v>289.39147112215892</v>
      </c>
      <c r="BU126" s="7">
        <v>298.37721852321204</v>
      </c>
      <c r="BV126" s="7">
        <v>303.31693365943778</v>
      </c>
      <c r="BW126" s="7">
        <v>319.83647378492316</v>
      </c>
      <c r="BX126" s="7">
        <v>319.73033276107662</v>
      </c>
      <c r="BY126" s="7">
        <v>374.19740064537774</v>
      </c>
      <c r="BZ126" s="7">
        <v>483.86868842276812</v>
      </c>
      <c r="CA126" s="7">
        <v>447.0009006342342</v>
      </c>
    </row>
    <row r="127" spans="1:79" x14ac:dyDescent="0.2">
      <c r="A127" t="s">
        <v>198</v>
      </c>
      <c r="C127" t="s">
        <v>2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6</v>
      </c>
      <c r="AH127" t="s">
        <v>6</v>
      </c>
      <c r="AI127" t="s">
        <v>6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6</v>
      </c>
      <c r="AT127" t="s">
        <v>6</v>
      </c>
      <c r="AU127" s="5">
        <v>41.062025514320425</v>
      </c>
      <c r="AV127" s="5">
        <v>146.39142193397038</v>
      </c>
      <c r="AW127" s="5">
        <v>46.435277234376343</v>
      </c>
      <c r="AX127" s="5">
        <v>13.373287062819747</v>
      </c>
      <c r="AY127" s="5">
        <v>14.387719213719915</v>
      </c>
      <c r="AZ127" s="5">
        <v>20.620146779909174</v>
      </c>
      <c r="BA127" s="5">
        <v>23.609534726066709</v>
      </c>
      <c r="BB127" s="5">
        <v>19.74891281144065</v>
      </c>
      <c r="BC127" s="5">
        <v>17.067145723522327</v>
      </c>
      <c r="BD127" s="5">
        <v>16.944160261433069</v>
      </c>
      <c r="BE127" s="5">
        <v>36.090034274194927</v>
      </c>
      <c r="BF127" s="5">
        <v>46.722917504545094</v>
      </c>
      <c r="BG127" s="5">
        <v>54.83616411381449</v>
      </c>
      <c r="BH127" t="s">
        <v>6</v>
      </c>
      <c r="BI127" t="s">
        <v>6</v>
      </c>
      <c r="BJ127" t="s">
        <v>6</v>
      </c>
      <c r="BK127" s="5">
        <v>45.814594273560814</v>
      </c>
      <c r="BL127" s="5">
        <v>47.093041879425854</v>
      </c>
      <c r="BM127" s="5">
        <v>52.883454093980504</v>
      </c>
      <c r="BN127" s="5">
        <v>65.724273256833058</v>
      </c>
      <c r="BO127" s="5">
        <v>68.243554519769987</v>
      </c>
      <c r="BP127" t="s">
        <v>6</v>
      </c>
      <c r="BQ127" s="5">
        <v>87.238700872479129</v>
      </c>
      <c r="BR127" s="7">
        <v>99.442536578697968</v>
      </c>
      <c r="BS127" s="7">
        <v>100.15491354612919</v>
      </c>
      <c r="BT127" s="7">
        <v>92.894530411314648</v>
      </c>
      <c r="BU127" s="7">
        <v>97.865296455044827</v>
      </c>
      <c r="BV127" s="7">
        <v>96.102432655084954</v>
      </c>
      <c r="BW127" s="7">
        <v>89.734120530449289</v>
      </c>
      <c r="BX127" s="7">
        <v>105.84179722581696</v>
      </c>
      <c r="BY127" s="7">
        <v>215.6179270649526</v>
      </c>
      <c r="BZ127" s="7">
        <v>285.06344990408735</v>
      </c>
      <c r="CA127" s="7">
        <v>234.44863772222084</v>
      </c>
    </row>
    <row r="128" spans="1:79" x14ac:dyDescent="0.2">
      <c r="A128" t="s">
        <v>199</v>
      </c>
      <c r="C128" t="s">
        <v>200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  <c r="AI128" t="s">
        <v>6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  <c r="AV128" t="s">
        <v>6</v>
      </c>
      <c r="AW128" s="5">
        <v>155.91154901360119</v>
      </c>
      <c r="AX128" s="5">
        <v>139.01559485747487</v>
      </c>
      <c r="AY128" s="5">
        <v>133.80387990677727</v>
      </c>
      <c r="AZ128" s="5">
        <v>202.54406571804952</v>
      </c>
      <c r="BA128" s="5">
        <v>171.73414133878262</v>
      </c>
      <c r="BB128" s="5">
        <v>185.75769168504652</v>
      </c>
      <c r="BC128" t="s">
        <v>6</v>
      </c>
      <c r="BD128" t="s">
        <v>6</v>
      </c>
      <c r="BE128" t="s">
        <v>6</v>
      </c>
      <c r="BF128" t="s">
        <v>6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6</v>
      </c>
      <c r="BM128" t="s">
        <v>6</v>
      </c>
      <c r="BN128" t="s">
        <v>6</v>
      </c>
      <c r="BO128" t="s">
        <v>6</v>
      </c>
      <c r="BP128" t="s">
        <v>6</v>
      </c>
      <c r="BQ128" t="s">
        <v>6</v>
      </c>
      <c r="BR128" t="s">
        <v>6</v>
      </c>
      <c r="BS128" t="s">
        <v>6</v>
      </c>
      <c r="BT128" t="s">
        <v>6</v>
      </c>
      <c r="BU128" t="s">
        <v>6</v>
      </c>
      <c r="BV128" t="s">
        <v>6</v>
      </c>
      <c r="BW128" t="s">
        <v>6</v>
      </c>
      <c r="BX128" t="s">
        <v>6</v>
      </c>
      <c r="BY128" t="s">
        <v>6</v>
      </c>
      <c r="BZ128" t="s">
        <v>6</v>
      </c>
      <c r="CA128" t="s">
        <v>6</v>
      </c>
    </row>
    <row r="129" spans="1:79" x14ac:dyDescent="0.2">
      <c r="A129" t="s">
        <v>201</v>
      </c>
      <c r="C129" t="s">
        <v>202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6</v>
      </c>
      <c r="AT129" t="s">
        <v>6</v>
      </c>
      <c r="AU129" t="s">
        <v>6</v>
      </c>
      <c r="AV129" t="s">
        <v>6</v>
      </c>
      <c r="AW129" s="6">
        <v>31.041089074384594</v>
      </c>
      <c r="AX129" s="6">
        <v>25.973711156631204</v>
      </c>
      <c r="AY129" s="6">
        <v>34.696035188417675</v>
      </c>
      <c r="AZ129" s="6">
        <v>40.31999235998439</v>
      </c>
      <c r="BA129" t="s">
        <v>6</v>
      </c>
      <c r="BB129" s="5">
        <v>61.612098444289011</v>
      </c>
      <c r="BC129" s="5">
        <v>53.015434406855022</v>
      </c>
      <c r="BD129" s="5">
        <v>45.682371982212885</v>
      </c>
      <c r="BE129" s="5">
        <v>38.87493440734417</v>
      </c>
      <c r="BF129" s="5">
        <v>41.137826798998695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6</v>
      </c>
      <c r="BM129" t="s">
        <v>6</v>
      </c>
      <c r="BN129" t="s">
        <v>6</v>
      </c>
      <c r="BO129" t="s">
        <v>6</v>
      </c>
      <c r="BP129" t="s">
        <v>6</v>
      </c>
      <c r="BQ129" t="s">
        <v>6</v>
      </c>
      <c r="BR129" t="s">
        <v>6</v>
      </c>
      <c r="BS129" t="s">
        <v>6</v>
      </c>
      <c r="BT129" t="s">
        <v>6</v>
      </c>
      <c r="BU129" s="6">
        <v>1749.9779323380778</v>
      </c>
      <c r="BV129" t="s">
        <v>6</v>
      </c>
      <c r="BW129" t="s">
        <v>6</v>
      </c>
      <c r="BX129" t="s">
        <v>6</v>
      </c>
      <c r="BY129" t="s">
        <v>6</v>
      </c>
      <c r="BZ129" t="s">
        <v>6</v>
      </c>
      <c r="CA129" t="s">
        <v>6</v>
      </c>
    </row>
    <row r="130" spans="1:79" ht="18" x14ac:dyDescent="0.2">
      <c r="A130" s="2" t="s">
        <v>21</v>
      </c>
    </row>
    <row r="131" spans="1:79" x14ac:dyDescent="0.2">
      <c r="A131" s="4" t="s">
        <v>23</v>
      </c>
    </row>
    <row r="132" spans="1:79" x14ac:dyDescent="0.2">
      <c r="A132" t="s">
        <v>203</v>
      </c>
      <c r="C132" t="s">
        <v>204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6</v>
      </c>
      <c r="AH132" t="s">
        <v>6</v>
      </c>
      <c r="AI132" t="s">
        <v>6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s="5">
        <v>348.51454215395898</v>
      </c>
      <c r="AS132" s="5">
        <v>358.16353620246076</v>
      </c>
      <c r="AT132" s="5">
        <v>253.22052775057529</v>
      </c>
      <c r="AU132" s="5">
        <v>193.61195942135782</v>
      </c>
      <c r="AV132" s="5">
        <v>177.21969010467362</v>
      </c>
      <c r="AW132" s="5">
        <v>169.40021466921877</v>
      </c>
      <c r="AX132" s="5">
        <v>157.85541407273109</v>
      </c>
      <c r="AY132" s="5">
        <v>141.75639523741708</v>
      </c>
      <c r="AZ132" s="5">
        <v>98.975127192732998</v>
      </c>
      <c r="BA132" s="5">
        <v>93.582964490870054</v>
      </c>
      <c r="BB132" s="5">
        <v>108.37943820749349</v>
      </c>
      <c r="BC132" s="5">
        <v>119.8730849480681</v>
      </c>
      <c r="BD132" s="5">
        <v>136.21650291245109</v>
      </c>
      <c r="BE132" s="5">
        <v>136.02598770698634</v>
      </c>
      <c r="BF132" s="5">
        <v>152.81089491894875</v>
      </c>
      <c r="BG132" s="5">
        <v>167.0161037198981</v>
      </c>
      <c r="BH132" s="5">
        <v>173.01706086090311</v>
      </c>
      <c r="BI132" s="5">
        <v>212.51125181128475</v>
      </c>
      <c r="BJ132" s="5">
        <v>263.00034179970385</v>
      </c>
      <c r="BK132" s="5">
        <v>309.89480480976988</v>
      </c>
      <c r="BL132" s="5">
        <v>245.18926698958441</v>
      </c>
      <c r="BM132" s="5">
        <v>263.39800605258648</v>
      </c>
      <c r="BN132" s="5">
        <v>261.99371732099729</v>
      </c>
      <c r="BO132" s="5">
        <v>256.04071037567655</v>
      </c>
      <c r="BP132" s="5">
        <v>241.06105760176268</v>
      </c>
      <c r="BQ132" s="5">
        <v>234.28645248062784</v>
      </c>
      <c r="BR132" s="5">
        <v>204.01889869503773</v>
      </c>
      <c r="BS132" s="5">
        <v>196.36225447192143</v>
      </c>
      <c r="BT132" s="5">
        <v>203.78136456209157</v>
      </c>
      <c r="BU132" s="5">
        <v>220.58752103688323</v>
      </c>
      <c r="BV132" s="5">
        <v>248.15046850803577</v>
      </c>
      <c r="BW132" s="5">
        <v>240.56387047538209</v>
      </c>
      <c r="BX132" s="5">
        <v>254.78962415338404</v>
      </c>
      <c r="BY132" s="5">
        <v>267.45852903810555</v>
      </c>
      <c r="BZ132" s="5">
        <v>397.61761306954554</v>
      </c>
      <c r="CA132" s="5">
        <v>481.50323686573842</v>
      </c>
    </row>
    <row r="133" spans="1:79" x14ac:dyDescent="0.2">
      <c r="A133" t="s">
        <v>205</v>
      </c>
      <c r="C133" t="s">
        <v>206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6</v>
      </c>
      <c r="BB133" t="s">
        <v>6</v>
      </c>
      <c r="BC133" t="s">
        <v>6</v>
      </c>
      <c r="BD133" t="s">
        <v>6</v>
      </c>
      <c r="BE133" s="5">
        <v>437.03341265893664</v>
      </c>
      <c r="BF133" s="5">
        <v>304.18672090203705</v>
      </c>
      <c r="BG133" s="5">
        <v>272.7430686294793</v>
      </c>
      <c r="BH133" s="5">
        <v>227.69659637155215</v>
      </c>
      <c r="BI133" s="5">
        <v>218.91553871339386</v>
      </c>
      <c r="BJ133" s="5">
        <v>216.16389904280399</v>
      </c>
      <c r="BK133" s="5">
        <v>224.87494841529468</v>
      </c>
      <c r="BL133" s="5">
        <v>247.38916893963318</v>
      </c>
      <c r="BM133" s="5">
        <v>230.45572379288151</v>
      </c>
      <c r="BN133" s="5">
        <v>203.42324478830562</v>
      </c>
      <c r="BO133" s="5">
        <v>200.86856055568995</v>
      </c>
      <c r="BP133" s="5">
        <v>194.83130897981692</v>
      </c>
      <c r="BQ133" s="5">
        <v>189.54033973258464</v>
      </c>
      <c r="BR133" s="5">
        <v>195.19368205621109</v>
      </c>
      <c r="BS133" s="5">
        <v>193.6290564468801</v>
      </c>
      <c r="BT133" s="5">
        <v>186.48217958162505</v>
      </c>
      <c r="BU133" s="5">
        <v>193.35609252793878</v>
      </c>
      <c r="BV133" s="5">
        <v>194.8246009641839</v>
      </c>
      <c r="BW133" s="5">
        <v>195.80659334663554</v>
      </c>
      <c r="BX133" s="5">
        <v>231.78254441761686</v>
      </c>
      <c r="BY133" s="5">
        <v>201.05892204713021</v>
      </c>
      <c r="BZ133" s="5">
        <v>197.3325157983119</v>
      </c>
      <c r="CA133" s="5">
        <v>211.09473244662863</v>
      </c>
    </row>
    <row r="134" spans="1:79" x14ac:dyDescent="0.2">
      <c r="A134" t="s">
        <v>207</v>
      </c>
      <c r="C134" t="s">
        <v>208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s="7">
        <v>5108.7335458368862</v>
      </c>
      <c r="AS134" s="7">
        <v>4126.6070467986974</v>
      </c>
      <c r="AT134" s="7">
        <v>2233.9575266373213</v>
      </c>
      <c r="AU134" s="7">
        <v>1688.0676440400957</v>
      </c>
      <c r="AV134" s="7">
        <v>1275.7558543624725</v>
      </c>
      <c r="AW134" s="7">
        <v>1092.851143970192</v>
      </c>
      <c r="AX134" s="7">
        <v>1075.9050687791598</v>
      </c>
      <c r="AY134" s="7">
        <v>882.72764208461365</v>
      </c>
      <c r="AZ134" s="7">
        <v>824.20703264496603</v>
      </c>
      <c r="BA134" s="7">
        <v>953.06953642312135</v>
      </c>
      <c r="BB134" s="7">
        <v>1080.7272061825342</v>
      </c>
      <c r="BC134" s="7">
        <v>1114.067575634145</v>
      </c>
      <c r="BD134" s="7">
        <v>1233.8149393403858</v>
      </c>
      <c r="BE134" s="7">
        <v>1244.9418878185161</v>
      </c>
      <c r="BF134" s="7">
        <v>1266.4671581448081</v>
      </c>
      <c r="BG134" s="5">
        <v>1183.4437292412617</v>
      </c>
      <c r="BH134" s="5">
        <v>1210.7697585785186</v>
      </c>
      <c r="BI134" s="5">
        <v>1198.6124775932524</v>
      </c>
      <c r="BJ134" s="5">
        <v>1401.9470289118631</v>
      </c>
      <c r="BK134" s="5">
        <v>1369.5518950196945</v>
      </c>
      <c r="BL134" s="5">
        <v>1092.546866614837</v>
      </c>
      <c r="BM134" s="5">
        <v>1030.5082978877319</v>
      </c>
      <c r="BN134" s="5">
        <v>856.94494218553893</v>
      </c>
      <c r="BO134" s="5">
        <v>858.11952896642322</v>
      </c>
      <c r="BP134" s="5">
        <v>925.6200390617189</v>
      </c>
      <c r="BQ134" s="5">
        <v>865.1399121020155</v>
      </c>
      <c r="BR134" s="5">
        <v>877.04848470771708</v>
      </c>
      <c r="BS134" s="5">
        <v>939.56431577781655</v>
      </c>
      <c r="BT134" s="5">
        <v>974.14407795549084</v>
      </c>
      <c r="BU134" s="5">
        <v>1202.653966220304</v>
      </c>
      <c r="BV134" s="5">
        <v>2761.2585249328326</v>
      </c>
      <c r="BW134" s="5">
        <v>1382.765437402214</v>
      </c>
      <c r="BX134" s="5">
        <v>1470.3916524605668</v>
      </c>
      <c r="BY134" s="5">
        <v>1615.3568000307446</v>
      </c>
      <c r="BZ134" s="5">
        <v>1989.7034778381724</v>
      </c>
      <c r="CA134" s="5">
        <v>2265.1060149764789</v>
      </c>
    </row>
    <row r="135" spans="1:79" x14ac:dyDescent="0.2">
      <c r="A135" t="s">
        <v>209</v>
      </c>
      <c r="C135" t="s">
        <v>210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6</v>
      </c>
      <c r="AH135" t="s">
        <v>6</v>
      </c>
      <c r="AI135" t="s">
        <v>6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6</v>
      </c>
      <c r="AT135" t="s">
        <v>6</v>
      </c>
      <c r="AU135" s="7">
        <v>2278.3463459635091</v>
      </c>
      <c r="AV135" s="7">
        <v>2893.4390001949155</v>
      </c>
      <c r="AW135" s="7">
        <v>3251.6687673987417</v>
      </c>
      <c r="AX135" s="7">
        <v>3458.4013956319895</v>
      </c>
      <c r="AY135" s="7">
        <v>3241.3047984544555</v>
      </c>
      <c r="AZ135" s="7">
        <v>3269.9866140280137</v>
      </c>
      <c r="BA135" s="7">
        <v>2521.0986583989461</v>
      </c>
      <c r="BB135" s="7">
        <v>1966.0952680390826</v>
      </c>
      <c r="BC135" s="7">
        <v>1393.2069445003567</v>
      </c>
      <c r="BD135" s="7">
        <v>1290.7109166950413</v>
      </c>
      <c r="BE135" s="7">
        <v>1396.3229652678194</v>
      </c>
      <c r="BF135" s="7">
        <v>1130.0311612286832</v>
      </c>
      <c r="BG135" s="5">
        <v>1026.6799367988463</v>
      </c>
      <c r="BH135" s="5">
        <v>1071.2441900558551</v>
      </c>
      <c r="BI135" s="5">
        <v>1082.7754757199798</v>
      </c>
      <c r="BJ135" s="5">
        <v>1114.2909693277211</v>
      </c>
      <c r="BK135" s="5">
        <v>1279.3939335465454</v>
      </c>
      <c r="BL135" s="5">
        <v>1165.7469004839911</v>
      </c>
      <c r="BM135" s="5">
        <v>1080.220617135084</v>
      </c>
      <c r="BN135" s="5">
        <v>1118.1363890440628</v>
      </c>
      <c r="BO135" s="5">
        <v>1022.0079976277875</v>
      </c>
      <c r="BP135" s="5">
        <v>976.67359402753686</v>
      </c>
      <c r="BQ135" s="5">
        <v>1095.9733843277202</v>
      </c>
      <c r="BR135" s="5">
        <v>1091.0010751765742</v>
      </c>
      <c r="BS135" s="5">
        <v>1037.6504745926329</v>
      </c>
      <c r="BT135" s="5">
        <v>1102.4406532937708</v>
      </c>
      <c r="BU135" s="5">
        <v>1076.9183884018073</v>
      </c>
      <c r="BV135" s="5">
        <v>1168.3516707342096</v>
      </c>
      <c r="BW135" s="5">
        <v>1140.6967319527948</v>
      </c>
      <c r="BX135" s="5">
        <v>1486.0736879629801</v>
      </c>
      <c r="BY135" s="5">
        <v>1421.5628117940616</v>
      </c>
      <c r="BZ135" s="5">
        <v>1439.0603324964025</v>
      </c>
      <c r="CA135" s="5">
        <v>1565.0061674308733</v>
      </c>
    </row>
    <row r="136" spans="1:79" x14ac:dyDescent="0.2">
      <c r="A136" t="s">
        <v>211</v>
      </c>
      <c r="C136" t="s">
        <v>212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t="s">
        <v>6</v>
      </c>
      <c r="AV136" s="5">
        <v>3642.7019781153899</v>
      </c>
      <c r="AW136" s="5">
        <v>3762.7989882566212</v>
      </c>
      <c r="AX136" s="5">
        <v>3608.4822795248137</v>
      </c>
      <c r="AY136" s="5">
        <v>3579.9726692531985</v>
      </c>
      <c r="AZ136" s="5">
        <v>3385.1425266114434</v>
      </c>
      <c r="BA136" s="5">
        <v>3674.3819814551066</v>
      </c>
      <c r="BB136" s="5">
        <v>3984.1393788578071</v>
      </c>
      <c r="BC136" s="5">
        <v>4113.7802605506258</v>
      </c>
      <c r="BD136" s="5">
        <v>3957.5966856955733</v>
      </c>
      <c r="BE136" s="5">
        <v>4224.469491012821</v>
      </c>
      <c r="BF136" s="5">
        <v>4587.7082686677013</v>
      </c>
      <c r="BG136" s="5">
        <v>4404.6678701186011</v>
      </c>
      <c r="BH136" s="5">
        <v>4815.767089799052</v>
      </c>
      <c r="BI136" s="5">
        <v>4448.7066817000632</v>
      </c>
      <c r="BJ136" s="5">
        <v>4293.297331403146</v>
      </c>
      <c r="BK136" s="5">
        <v>3660.3742608640041</v>
      </c>
      <c r="BL136" s="5">
        <v>3768.64549558099</v>
      </c>
      <c r="BM136" s="5">
        <v>3418.8191960123991</v>
      </c>
      <c r="BN136" s="5">
        <v>3078.8294608339038</v>
      </c>
      <c r="BO136" s="5">
        <v>2959.6449432885406</v>
      </c>
      <c r="BP136" s="5">
        <v>2822.3121317882278</v>
      </c>
      <c r="BQ136" s="5">
        <v>2808.423343241594</v>
      </c>
      <c r="BR136" s="5">
        <v>2919.3135047997057</v>
      </c>
      <c r="BS136" s="5">
        <v>3164.3922402825219</v>
      </c>
      <c r="BT136" s="5">
        <v>3160.4014415321258</v>
      </c>
      <c r="BU136" s="5">
        <v>3726.7741578287196</v>
      </c>
      <c r="BV136" s="5">
        <v>4106.0552204802734</v>
      </c>
      <c r="BW136" s="5">
        <v>4503.0170043496892</v>
      </c>
      <c r="BX136" s="5">
        <v>4902.8002687571234</v>
      </c>
      <c r="BY136" s="5">
        <v>4668.0389582440112</v>
      </c>
      <c r="BZ136" s="5">
        <v>5056.2773100528048</v>
      </c>
      <c r="CA136" s="5">
        <v>6676.0229410843831</v>
      </c>
    </row>
    <row r="137" spans="1:79" x14ac:dyDescent="0.2">
      <c r="A137" t="s">
        <v>213</v>
      </c>
      <c r="C137" t="s">
        <v>214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  <c r="K137" s="7">
        <v>3689.4065686344948</v>
      </c>
      <c r="L137" s="7">
        <v>3851.3389314719675</v>
      </c>
      <c r="M137" s="7">
        <v>3681.788203618848</v>
      </c>
      <c r="N137" s="7">
        <v>3733.7577190037041</v>
      </c>
      <c r="O137" s="7">
        <v>4104.3979389089855</v>
      </c>
      <c r="P137" s="7">
        <v>4738.4240127342528</v>
      </c>
      <c r="Q137" s="7">
        <v>4863.1913290893963</v>
      </c>
      <c r="R137" s="7">
        <v>4620.5910842571921</v>
      </c>
      <c r="S137" s="7">
        <v>4368.5673588687341</v>
      </c>
      <c r="T137" s="7">
        <v>4347.0083490041579</v>
      </c>
      <c r="U137" s="7">
        <v>4668.2145247923172</v>
      </c>
      <c r="V137" s="7">
        <v>5206.0687927338067</v>
      </c>
      <c r="W137" s="7">
        <v>5471.1515654233381</v>
      </c>
      <c r="X137" s="7">
        <v>5698.6030690224661</v>
      </c>
      <c r="Y137" s="7">
        <v>5810.1458799450356</v>
      </c>
      <c r="Z137" s="7">
        <v>6225.0287754415776</v>
      </c>
      <c r="AA137" s="7">
        <v>6604.0285054967189</v>
      </c>
      <c r="AB137" s="7">
        <v>8151.3500574922127</v>
      </c>
      <c r="AC137" s="7">
        <v>8352.9264534742688</v>
      </c>
      <c r="AD137" s="7">
        <v>8978.7138372868267</v>
      </c>
      <c r="AE137" s="7">
        <v>8883.0080296878114</v>
      </c>
      <c r="AF137" s="5">
        <v>9186.2849052786114</v>
      </c>
      <c r="AG137" s="5">
        <v>9356.5073430862394</v>
      </c>
      <c r="AH137" s="5">
        <v>9269.7534731463529</v>
      </c>
      <c r="AI137" s="5">
        <v>9649.8765163980734</v>
      </c>
      <c r="AJ137" s="5">
        <v>9656.0643985692732</v>
      </c>
      <c r="AK137" s="5">
        <v>9778.2530213028494</v>
      </c>
      <c r="AL137" s="5">
        <v>9957.2278523209352</v>
      </c>
      <c r="AM137" s="5">
        <v>10255.225111507318</v>
      </c>
      <c r="AN137" s="5">
        <v>10831.928392787377</v>
      </c>
      <c r="AO137" s="5">
        <v>10742.292146850004</v>
      </c>
      <c r="AP137" s="5">
        <v>10805.850278971948</v>
      </c>
      <c r="AQ137" s="5">
        <v>11064.284764124288</v>
      </c>
      <c r="AR137" s="5">
        <v>16341.109453721065</v>
      </c>
      <c r="AS137" s="5">
        <v>14255.245930215808</v>
      </c>
      <c r="AT137" s="5">
        <v>9350.6378467916329</v>
      </c>
      <c r="AU137" s="5">
        <v>9485.1975779113709</v>
      </c>
      <c r="AV137" t="s">
        <v>215</v>
      </c>
      <c r="AW137" t="s">
        <v>215</v>
      </c>
      <c r="AX137" t="s">
        <v>215</v>
      </c>
      <c r="AY137" t="s">
        <v>215</v>
      </c>
      <c r="AZ137" t="s">
        <v>215</v>
      </c>
      <c r="BA137" t="s">
        <v>215</v>
      </c>
      <c r="BB137" t="s">
        <v>215</v>
      </c>
      <c r="BC137" t="s">
        <v>215</v>
      </c>
      <c r="BD137" t="s">
        <v>215</v>
      </c>
      <c r="BE137" t="s">
        <v>215</v>
      </c>
      <c r="BF137" t="s">
        <v>215</v>
      </c>
      <c r="BG137" t="s">
        <v>215</v>
      </c>
      <c r="BH137" t="s">
        <v>215</v>
      </c>
      <c r="BI137" t="s">
        <v>215</v>
      </c>
      <c r="BJ137" t="s">
        <v>215</v>
      </c>
      <c r="BK137" t="s">
        <v>215</v>
      </c>
      <c r="BL137" t="s">
        <v>215</v>
      </c>
      <c r="BM137" t="s">
        <v>215</v>
      </c>
      <c r="BN137" t="s">
        <v>215</v>
      </c>
      <c r="BO137" t="s">
        <v>215</v>
      </c>
      <c r="BP137" t="s">
        <v>215</v>
      </c>
      <c r="BQ137" t="s">
        <v>215</v>
      </c>
      <c r="BR137" t="s">
        <v>215</v>
      </c>
      <c r="BS137" t="s">
        <v>215</v>
      </c>
      <c r="BT137" t="s">
        <v>215</v>
      </c>
      <c r="BU137" t="s">
        <v>215</v>
      </c>
      <c r="BV137" t="s">
        <v>215</v>
      </c>
      <c r="BW137" t="s">
        <v>215</v>
      </c>
      <c r="BX137" t="s">
        <v>215</v>
      </c>
      <c r="BY137" t="s">
        <v>215</v>
      </c>
      <c r="BZ137" t="s">
        <v>215</v>
      </c>
      <c r="CA137" t="s">
        <v>215</v>
      </c>
    </row>
    <row r="138" spans="1:79" x14ac:dyDescent="0.2">
      <c r="A138" t="s">
        <v>216</v>
      </c>
      <c r="C138" t="s">
        <v>217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6</v>
      </c>
      <c r="AT138" t="s">
        <v>6</v>
      </c>
      <c r="AU138" s="5">
        <v>66.916938352772959</v>
      </c>
      <c r="AV138" s="5">
        <v>90.123382083087918</v>
      </c>
      <c r="AW138" s="5">
        <v>114.65636183899809</v>
      </c>
      <c r="AX138" s="5">
        <v>113.6083223169658</v>
      </c>
      <c r="AY138" s="5">
        <v>110.52854753914006</v>
      </c>
      <c r="AZ138" s="5">
        <v>147.51351549906872</v>
      </c>
      <c r="BA138" s="5">
        <v>156.17094657130824</v>
      </c>
      <c r="BB138" s="5">
        <v>194.1877538920784</v>
      </c>
      <c r="BC138" s="5">
        <v>229.02246666882655</v>
      </c>
      <c r="BD138" s="5">
        <v>267.24213638078862</v>
      </c>
      <c r="BE138" s="5">
        <v>319.08519724702734</v>
      </c>
      <c r="BF138" s="5">
        <v>368.8196006530672</v>
      </c>
      <c r="BG138" s="5">
        <v>389.03272082531146</v>
      </c>
      <c r="BH138" s="5">
        <v>372.61227946910941</v>
      </c>
      <c r="BI138" s="5">
        <v>408.39192611655972</v>
      </c>
      <c r="BJ138" s="5">
        <v>553.09805875823986</v>
      </c>
      <c r="BK138" s="5">
        <v>541.45339940478391</v>
      </c>
      <c r="BL138" s="5">
        <v>469.11681957556146</v>
      </c>
      <c r="BM138" s="5">
        <v>449.16351986307399</v>
      </c>
      <c r="BN138" s="5">
        <v>477.92578777668552</v>
      </c>
      <c r="BO138" s="5">
        <v>558.37532236536276</v>
      </c>
      <c r="BP138" s="5">
        <v>576.82422815472353</v>
      </c>
      <c r="BQ138" s="5">
        <v>617.42605736378982</v>
      </c>
      <c r="BR138" s="5">
        <v>671.9196725398956</v>
      </c>
      <c r="BS138" s="5">
        <v>722.28457099862192</v>
      </c>
      <c r="BT138" s="5">
        <v>743.42714270822114</v>
      </c>
      <c r="BU138" s="5">
        <v>781.74935784143099</v>
      </c>
      <c r="BV138" s="5">
        <v>834.76262176765476</v>
      </c>
      <c r="BW138" s="5">
        <v>928.38081085311114</v>
      </c>
      <c r="BX138" s="5">
        <v>891.32675190634154</v>
      </c>
      <c r="BY138" s="5">
        <v>917.51847563445756</v>
      </c>
      <c r="BZ138" s="5">
        <v>1235.9497149969102</v>
      </c>
      <c r="CA138" s="5">
        <v>1392.6579125761443</v>
      </c>
    </row>
    <row r="139" spans="1:79" x14ac:dyDescent="0.2">
      <c r="A139" t="s">
        <v>218</v>
      </c>
      <c r="C139" t="s">
        <v>219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s="7">
        <v>666.88884022307138</v>
      </c>
      <c r="P139" s="7">
        <v>666.29251637190328</v>
      </c>
      <c r="Q139" s="7">
        <v>1767.8223743991582</v>
      </c>
      <c r="R139" s="7">
        <v>1821.4463197559326</v>
      </c>
      <c r="S139" s="7">
        <v>1880.2629098645045</v>
      </c>
      <c r="T139" s="7">
        <v>1998.8775491157098</v>
      </c>
      <c r="U139" s="7">
        <v>2054.4019254800351</v>
      </c>
      <c r="V139" s="7">
        <v>2338.9954778765541</v>
      </c>
      <c r="W139" s="7">
        <v>3112.1479210409993</v>
      </c>
      <c r="X139" s="7">
        <v>3397.1124797730904</v>
      </c>
      <c r="Y139" s="5">
        <v>3742.4428608860139</v>
      </c>
      <c r="Z139" s="5">
        <v>4005.5154112487417</v>
      </c>
      <c r="AA139" s="5">
        <v>4248.98123810794</v>
      </c>
      <c r="AB139" s="5">
        <v>4668.356118445603</v>
      </c>
      <c r="AC139" s="5">
        <v>5026.3153434911937</v>
      </c>
      <c r="AD139" s="5">
        <v>5421.6435165747707</v>
      </c>
      <c r="AE139" s="5">
        <v>5760.4962363606937</v>
      </c>
      <c r="AF139" s="5">
        <v>6218.8986638100869</v>
      </c>
      <c r="AG139" s="5">
        <v>6564.0877258408582</v>
      </c>
      <c r="AH139" s="5">
        <v>6826.2865557176447</v>
      </c>
      <c r="AI139" s="5">
        <v>7361.4603420822859</v>
      </c>
      <c r="AJ139" s="5">
        <v>7962.7839084070447</v>
      </c>
      <c r="AK139" s="5">
        <v>8411.3914525426535</v>
      </c>
      <c r="AL139" s="5">
        <v>8916.0749396952106</v>
      </c>
      <c r="AM139" s="5">
        <v>9511.0406951050627</v>
      </c>
      <c r="AN139" s="5">
        <v>10143.048679066031</v>
      </c>
      <c r="AO139" s="5">
        <v>10907.047198752171</v>
      </c>
      <c r="AP139" s="5">
        <v>11730.54890953804</v>
      </c>
      <c r="AQ139" s="5">
        <v>12151.562054111593</v>
      </c>
      <c r="AR139" s="7">
        <v>12437.84539122059</v>
      </c>
      <c r="AS139" t="s">
        <v>215</v>
      </c>
      <c r="AT139" t="s">
        <v>215</v>
      </c>
      <c r="AU139" t="s">
        <v>215</v>
      </c>
      <c r="AV139" t="s">
        <v>215</v>
      </c>
      <c r="AW139" t="s">
        <v>215</v>
      </c>
      <c r="AX139" t="s">
        <v>215</v>
      </c>
      <c r="AY139" t="s">
        <v>215</v>
      </c>
      <c r="AZ139" t="s">
        <v>215</v>
      </c>
      <c r="BA139" t="s">
        <v>215</v>
      </c>
      <c r="BB139" t="s">
        <v>215</v>
      </c>
      <c r="BC139" t="s">
        <v>215</v>
      </c>
      <c r="BD139" t="s">
        <v>215</v>
      </c>
      <c r="BE139" t="s">
        <v>215</v>
      </c>
      <c r="BF139" t="s">
        <v>215</v>
      </c>
      <c r="BG139" t="s">
        <v>215</v>
      </c>
      <c r="BH139" t="s">
        <v>215</v>
      </c>
      <c r="BI139" t="s">
        <v>215</v>
      </c>
      <c r="BJ139" t="s">
        <v>215</v>
      </c>
      <c r="BK139" t="s">
        <v>215</v>
      </c>
      <c r="BL139" t="s">
        <v>215</v>
      </c>
      <c r="BM139" t="s">
        <v>215</v>
      </c>
      <c r="BN139" t="s">
        <v>215</v>
      </c>
      <c r="BO139" t="s">
        <v>215</v>
      </c>
      <c r="BP139" t="s">
        <v>215</v>
      </c>
      <c r="BQ139" t="s">
        <v>215</v>
      </c>
      <c r="BR139" t="s">
        <v>215</v>
      </c>
      <c r="BS139" t="s">
        <v>215</v>
      </c>
      <c r="BT139" t="s">
        <v>215</v>
      </c>
      <c r="BU139" t="s">
        <v>215</v>
      </c>
      <c r="BV139" t="s">
        <v>215</v>
      </c>
      <c r="BW139" t="s">
        <v>215</v>
      </c>
      <c r="BX139" t="s">
        <v>215</v>
      </c>
      <c r="BY139" t="s">
        <v>215</v>
      </c>
      <c r="BZ139" t="s">
        <v>215</v>
      </c>
      <c r="CA139" t="s">
        <v>215</v>
      </c>
    </row>
    <row r="140" spans="1:79" x14ac:dyDescent="0.2">
      <c r="A140" t="s">
        <v>220</v>
      </c>
      <c r="C140" t="s">
        <v>5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s="7">
        <v>2838.6156143351682</v>
      </c>
      <c r="AB140" s="7">
        <v>2767.0462855297833</v>
      </c>
      <c r="AC140" s="7">
        <v>3034.2695631181837</v>
      </c>
      <c r="AD140" s="7">
        <v>3266.9583996479987</v>
      </c>
      <c r="AE140" s="7">
        <v>3066.0713682932337</v>
      </c>
      <c r="AF140" s="7">
        <v>3191.9837619290793</v>
      </c>
      <c r="AG140" s="7">
        <v>3616.3374558584715</v>
      </c>
      <c r="AH140" s="7">
        <v>3595.0097200253467</v>
      </c>
      <c r="AI140" s="7">
        <v>3587.2420022585175</v>
      </c>
      <c r="AJ140" s="7">
        <v>3702.9827752982665</v>
      </c>
      <c r="AK140" s="7">
        <v>3659.8639481718637</v>
      </c>
      <c r="AL140" s="7">
        <v>3739.7810970168716</v>
      </c>
      <c r="AM140" s="7">
        <v>3545.6202666744402</v>
      </c>
      <c r="AN140" s="7">
        <v>5529.6136667682349</v>
      </c>
      <c r="AO140" s="7">
        <v>3586.28311250658</v>
      </c>
      <c r="AP140" s="7">
        <v>3638.2339333892</v>
      </c>
      <c r="AQ140" s="7">
        <v>4205.772279494302</v>
      </c>
      <c r="AR140" s="7">
        <v>3332.403244467233</v>
      </c>
      <c r="AS140" s="5">
        <v>2883.1509965334249</v>
      </c>
      <c r="AT140" s="5">
        <v>2165.5004928391181</v>
      </c>
      <c r="AU140" s="5">
        <v>2092.0205034083833</v>
      </c>
      <c r="AV140" s="5">
        <v>1801.9465029243456</v>
      </c>
      <c r="AW140" s="5">
        <v>1784.1733258175232</v>
      </c>
      <c r="AX140" s="5">
        <v>1343.7881148620104</v>
      </c>
      <c r="AY140" s="5">
        <v>1263.7655863439556</v>
      </c>
      <c r="AZ140" s="5">
        <v>1554.3920128921679</v>
      </c>
      <c r="BA140" s="5">
        <v>1388.8981329031499</v>
      </c>
      <c r="BB140" s="5">
        <v>1587.3719121922627</v>
      </c>
      <c r="BC140" s="5">
        <v>1751.7730542775314</v>
      </c>
      <c r="BD140" s="5">
        <v>1924.1087042195204</v>
      </c>
      <c r="BE140" s="5">
        <v>2101.1747689648591</v>
      </c>
      <c r="BF140" s="5">
        <v>2267.8740419733549</v>
      </c>
      <c r="BG140" s="5">
        <v>2099.9246870936659</v>
      </c>
      <c r="BH140" s="5">
        <v>2078.7442870641025</v>
      </c>
      <c r="BI140" s="5">
        <v>1862.7078933536945</v>
      </c>
      <c r="BJ140" s="5">
        <v>1897.1917541932612</v>
      </c>
      <c r="BK140" s="5">
        <v>1763.2044398960038</v>
      </c>
      <c r="BL140" s="5">
        <v>1571.6034278643706</v>
      </c>
      <c r="BM140" s="5">
        <v>1409.8620787973116</v>
      </c>
      <c r="BN140" s="5">
        <v>1429.3392311558596</v>
      </c>
      <c r="BO140" s="5">
        <v>1360.565928339709</v>
      </c>
      <c r="BP140" s="5">
        <v>1286.5733071792201</v>
      </c>
      <c r="BQ140" s="5">
        <v>1267.265215770703</v>
      </c>
      <c r="BR140" s="5">
        <v>1425.4749832530356</v>
      </c>
      <c r="BS140" s="5">
        <v>1628.4035239998766</v>
      </c>
      <c r="BT140" s="5">
        <v>2055.7577513104025</v>
      </c>
      <c r="BU140" s="5">
        <v>1861.2112272854827</v>
      </c>
      <c r="BV140" s="5">
        <v>2626.5903112247329</v>
      </c>
      <c r="BW140" s="5">
        <v>3403.6065026975543</v>
      </c>
      <c r="BX140" s="5">
        <v>2776.0155158749367</v>
      </c>
      <c r="BY140" s="5">
        <v>4020.7091722952914</v>
      </c>
      <c r="BZ140" s="5">
        <v>4355.4780698899312</v>
      </c>
      <c r="CA140" s="5">
        <v>4718.4431866936065</v>
      </c>
    </row>
    <row r="141" spans="1:79" x14ac:dyDescent="0.2">
      <c r="A141" t="s">
        <v>221</v>
      </c>
      <c r="C141" t="s">
        <v>5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6</v>
      </c>
      <c r="AT141" t="s">
        <v>6</v>
      </c>
      <c r="AU141" t="s">
        <v>6</v>
      </c>
      <c r="AV141" t="s">
        <v>6</v>
      </c>
      <c r="AW141" t="s">
        <v>6</v>
      </c>
      <c r="AX141" t="s">
        <v>6</v>
      </c>
      <c r="AY141" t="s">
        <v>6</v>
      </c>
      <c r="AZ141" t="s">
        <v>6</v>
      </c>
      <c r="BA141" t="s">
        <v>6</v>
      </c>
      <c r="BB141" t="s">
        <v>6</v>
      </c>
      <c r="BC141" t="s">
        <v>6</v>
      </c>
      <c r="BD141" t="s">
        <v>6</v>
      </c>
      <c r="BE141" t="s">
        <v>6</v>
      </c>
      <c r="BF141" t="s">
        <v>6</v>
      </c>
      <c r="BG141" t="s">
        <v>6</v>
      </c>
      <c r="BH141" t="s">
        <v>6</v>
      </c>
      <c r="BI141" t="s">
        <v>6</v>
      </c>
      <c r="BJ141" t="s">
        <v>6</v>
      </c>
      <c r="BK141" s="5">
        <v>0.9887763345310806</v>
      </c>
      <c r="BL141" s="5">
        <v>31.371057106280944</v>
      </c>
      <c r="BM141" s="5">
        <v>45.055266321460337</v>
      </c>
      <c r="BN141" s="5">
        <v>52.836346749246168</v>
      </c>
      <c r="BO141" s="5">
        <v>47.489396004933504</v>
      </c>
      <c r="BP141" s="5">
        <v>50.577007897419151</v>
      </c>
      <c r="BQ141" s="5">
        <v>55.561854042276913</v>
      </c>
      <c r="BR141" s="5">
        <v>62.348297951292182</v>
      </c>
      <c r="BS141" s="5">
        <v>64.787606903779846</v>
      </c>
      <c r="BT141" s="5">
        <v>69.375525581310129</v>
      </c>
      <c r="BU141" s="5">
        <v>72.191212610833844</v>
      </c>
      <c r="BV141" s="5">
        <v>76.887797440201908</v>
      </c>
      <c r="BW141" s="5">
        <v>90.579699006467621</v>
      </c>
      <c r="BX141" s="5">
        <v>85.163456919834772</v>
      </c>
      <c r="BY141" s="5">
        <v>115.99268268617527</v>
      </c>
      <c r="BZ141" s="5">
        <v>133.18546592279202</v>
      </c>
      <c r="CA141" s="5">
        <v>161.98947369087975</v>
      </c>
    </row>
    <row r="142" spans="1:79" x14ac:dyDescent="0.2">
      <c r="A142" t="s">
        <v>222</v>
      </c>
      <c r="C142" t="s">
        <v>223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6</v>
      </c>
      <c r="AI142" t="s">
        <v>6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6</v>
      </c>
      <c r="AT142" t="s">
        <v>6</v>
      </c>
      <c r="AU142" t="s">
        <v>6</v>
      </c>
      <c r="AV142" s="5">
        <v>114.30548913620451</v>
      </c>
      <c r="AW142" s="5">
        <v>133.56167734897002</v>
      </c>
      <c r="AX142" s="5">
        <v>129.42777722493204</v>
      </c>
      <c r="AY142" s="5">
        <v>100.62477990324675</v>
      </c>
      <c r="AZ142" s="5">
        <v>97.450256915519745</v>
      </c>
      <c r="BA142" s="5">
        <v>104.98841545558636</v>
      </c>
      <c r="BB142" s="5">
        <v>136.46092352082039</v>
      </c>
      <c r="BC142" s="5">
        <v>170.46977307633924</v>
      </c>
      <c r="BD142" s="5">
        <v>213.97474274732249</v>
      </c>
      <c r="BE142" s="5">
        <v>349.84157777074864</v>
      </c>
      <c r="BF142" s="5">
        <v>403.61068644737787</v>
      </c>
      <c r="BG142" s="5">
        <v>435.67762511126148</v>
      </c>
      <c r="BH142" s="5">
        <v>506.98543207989593</v>
      </c>
      <c r="BI142" s="5">
        <v>637.33274181549064</v>
      </c>
      <c r="BJ142" s="5">
        <v>694.76384947079043</v>
      </c>
      <c r="BK142" s="5">
        <v>680.71149575571724</v>
      </c>
      <c r="BL142" s="5">
        <v>432.31499025591876</v>
      </c>
      <c r="BM142" s="5">
        <v>327.33232081117103</v>
      </c>
      <c r="BN142" s="5">
        <v>338.74658993526333</v>
      </c>
      <c r="BO142" s="5">
        <v>311.39436628278668</v>
      </c>
      <c r="BP142" s="5">
        <v>334.33886388658198</v>
      </c>
      <c r="BQ142" s="5">
        <v>346.74423709861003</v>
      </c>
      <c r="BR142" s="5">
        <v>395.83387042735779</v>
      </c>
      <c r="BS142" s="5">
        <v>570.50909392858534</v>
      </c>
      <c r="BT142" s="5">
        <v>647.82504564853343</v>
      </c>
      <c r="BU142" s="5">
        <v>883.06755102875536</v>
      </c>
      <c r="BV142" s="5">
        <v>883.21536913058765</v>
      </c>
      <c r="BW142" s="5">
        <v>928.34367966239461</v>
      </c>
      <c r="BX142" s="5">
        <v>961.03309726191719</v>
      </c>
      <c r="BY142" s="5">
        <v>958.11453230264431</v>
      </c>
      <c r="BZ142" s="5">
        <v>1253.7964399462408</v>
      </c>
      <c r="CA142" s="5">
        <v>1404.7713519101135</v>
      </c>
    </row>
    <row r="143" spans="1:79" x14ac:dyDescent="0.2">
      <c r="A143" t="s">
        <v>224</v>
      </c>
      <c r="C143" t="s">
        <v>4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6</v>
      </c>
      <c r="AT143" t="s">
        <v>6</v>
      </c>
      <c r="AU143" t="s">
        <v>6</v>
      </c>
      <c r="AV143" s="7">
        <v>216.70502391354657</v>
      </c>
      <c r="AW143" s="7">
        <v>116.88992862996541</v>
      </c>
      <c r="AX143" s="7">
        <v>121.69454292333772</v>
      </c>
      <c r="AY143" s="5">
        <v>135.5051892262864</v>
      </c>
      <c r="AZ143" s="5">
        <v>222.66867348439914</v>
      </c>
      <c r="BA143" s="5">
        <v>387.28884826708901</v>
      </c>
      <c r="BB143" s="5">
        <v>296.21217908238094</v>
      </c>
      <c r="BC143" s="5">
        <v>386.88513093627631</v>
      </c>
      <c r="BD143" s="5">
        <v>453.63765923695848</v>
      </c>
      <c r="BE143" s="5">
        <v>452.22868420102759</v>
      </c>
      <c r="BF143" s="5">
        <v>442.33676528390248</v>
      </c>
      <c r="BG143" s="5">
        <v>510.29062215302559</v>
      </c>
      <c r="BH143" s="5">
        <v>556.28149915271626</v>
      </c>
      <c r="BI143" s="5">
        <v>615.69874832125254</v>
      </c>
      <c r="BJ143" s="5">
        <v>671.22698204927553</v>
      </c>
      <c r="BK143" s="5">
        <v>692.23194195382393</v>
      </c>
      <c r="BL143" s="5">
        <v>522.24114880471734</v>
      </c>
      <c r="BM143" s="5">
        <v>435.94161720358198</v>
      </c>
      <c r="BN143" s="5">
        <v>420.86529010920287</v>
      </c>
      <c r="BO143" s="5">
        <v>421.52452969774896</v>
      </c>
      <c r="BP143" s="5">
        <v>436.15087143528649</v>
      </c>
      <c r="BQ143" s="5">
        <v>524.44351649738587</v>
      </c>
      <c r="BR143" s="5">
        <v>698.71404904549968</v>
      </c>
      <c r="BS143" s="5">
        <v>936.40434375030827</v>
      </c>
      <c r="BT143" s="5">
        <v>1137.2128898855997</v>
      </c>
      <c r="BU143" s="5">
        <v>1369.2556748688598</v>
      </c>
      <c r="BV143" s="5">
        <v>1460.6089791677566</v>
      </c>
      <c r="BW143" s="5">
        <v>1521.5862239014134</v>
      </c>
      <c r="BX143" s="5">
        <v>1559.3485581962402</v>
      </c>
      <c r="BY143" s="5">
        <v>1943.9680474567731</v>
      </c>
      <c r="BZ143" s="5">
        <v>2162.9120012445928</v>
      </c>
      <c r="CA143" s="5">
        <v>2602.0612717950917</v>
      </c>
    </row>
    <row r="144" spans="1:79" x14ac:dyDescent="0.2">
      <c r="A144" t="s">
        <v>225</v>
      </c>
      <c r="C144" t="s">
        <v>226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  <c r="AV144" t="s">
        <v>6</v>
      </c>
      <c r="AW144" t="s">
        <v>6</v>
      </c>
      <c r="AX144" t="s">
        <v>6</v>
      </c>
      <c r="AY144" s="5">
        <v>181.83640480540276</v>
      </c>
      <c r="AZ144" s="5">
        <v>143.08098967614416</v>
      </c>
      <c r="BA144" s="5">
        <v>147.05808599833571</v>
      </c>
      <c r="BB144" s="5">
        <v>130.5077659421886</v>
      </c>
      <c r="BC144" s="5">
        <v>149.47528401231497</v>
      </c>
      <c r="BD144" s="5">
        <v>475.38748558875403</v>
      </c>
      <c r="BE144" s="5">
        <v>206.43989217863452</v>
      </c>
      <c r="BF144" s="5">
        <v>188.2620974100378</v>
      </c>
      <c r="BG144" s="5">
        <v>200.86232578613675</v>
      </c>
      <c r="BH144" s="5">
        <v>187.14155670882931</v>
      </c>
      <c r="BI144" s="5">
        <v>178.13556955052377</v>
      </c>
      <c r="BJ144" s="5">
        <v>206.0026766375089</v>
      </c>
      <c r="BK144" s="5">
        <v>189.03958043890663</v>
      </c>
      <c r="BL144" s="5">
        <v>184.40711818800338</v>
      </c>
      <c r="BM144" s="5">
        <v>156.86771934240693</v>
      </c>
      <c r="BN144" s="5">
        <v>146.34659000078693</v>
      </c>
      <c r="BO144" s="5">
        <v>138.25741234445837</v>
      </c>
      <c r="BP144" s="5">
        <v>138.05599491078934</v>
      </c>
      <c r="BQ144" s="5">
        <v>136.02821757958955</v>
      </c>
      <c r="BR144" s="5">
        <v>131.37436936104913</v>
      </c>
      <c r="BS144" s="5">
        <v>136.84532060098638</v>
      </c>
      <c r="BT144" s="5">
        <v>129.45359555754683</v>
      </c>
      <c r="BU144" s="5">
        <v>143.74870782646784</v>
      </c>
      <c r="BV144" s="5">
        <v>183.76648241709515</v>
      </c>
      <c r="BW144" s="5">
        <v>187.78420265851821</v>
      </c>
      <c r="BX144" s="5">
        <v>232.31896096647964</v>
      </c>
      <c r="BY144" s="5">
        <v>247.44970317231508</v>
      </c>
      <c r="BZ144" s="5">
        <v>266.62971272402598</v>
      </c>
      <c r="CA144" s="5">
        <v>341.79486684540603</v>
      </c>
    </row>
    <row r="145" spans="1:79" x14ac:dyDescent="0.2">
      <c r="A145" t="s">
        <v>227</v>
      </c>
      <c r="C145" t="s">
        <v>228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t="s">
        <v>6</v>
      </c>
      <c r="AW145" t="s">
        <v>6</v>
      </c>
      <c r="AX145" t="s">
        <v>6</v>
      </c>
      <c r="AY145" t="s">
        <v>6</v>
      </c>
      <c r="AZ145" t="s">
        <v>6</v>
      </c>
      <c r="BA145" t="s">
        <v>6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t="s">
        <v>6</v>
      </c>
      <c r="BH145" s="7">
        <v>94.067895018510598</v>
      </c>
      <c r="BI145" s="7">
        <v>92.890251008803503</v>
      </c>
      <c r="BJ145" s="5">
        <v>84.005189236865832</v>
      </c>
      <c r="BK145" s="5">
        <v>95.685313863856322</v>
      </c>
      <c r="BL145" s="5">
        <v>87.863304672278744</v>
      </c>
      <c r="BM145" s="5">
        <v>89.663645502268693</v>
      </c>
      <c r="BN145" s="5">
        <v>87.284744659820475</v>
      </c>
      <c r="BO145" s="5">
        <v>77.352329531099471</v>
      </c>
      <c r="BP145" s="5">
        <v>70.1279846637036</v>
      </c>
      <c r="BQ145" s="5">
        <v>73.635405236040114</v>
      </c>
      <c r="BR145" s="5">
        <v>73.066474243874254</v>
      </c>
      <c r="BS145" s="5">
        <v>79.700780966776136</v>
      </c>
      <c r="BT145" s="5">
        <v>81.728701388255686</v>
      </c>
      <c r="BU145" s="5">
        <v>86.806645902352429</v>
      </c>
      <c r="BV145" s="5">
        <v>89.488935762884424</v>
      </c>
      <c r="BW145" s="5">
        <v>98.794300414621446</v>
      </c>
      <c r="BX145" s="5">
        <v>102.19739432990357</v>
      </c>
      <c r="BY145" s="5">
        <v>109.5964884354626</v>
      </c>
      <c r="BZ145" s="5">
        <v>114.26052609971435</v>
      </c>
      <c r="CA145" s="5">
        <v>143.87650950922901</v>
      </c>
    </row>
    <row r="146" spans="1:79" x14ac:dyDescent="0.2">
      <c r="A146" t="s">
        <v>229</v>
      </c>
      <c r="C146" t="s">
        <v>230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s="5">
        <v>5936.5953570003376</v>
      </c>
      <c r="Z146" s="5">
        <v>6336.946420524001</v>
      </c>
      <c r="AA146" s="5">
        <v>6377.6841559245349</v>
      </c>
      <c r="AB146" s="5">
        <v>6795.5389827271811</v>
      </c>
      <c r="AC146" s="5">
        <v>6866.3300500837122</v>
      </c>
      <c r="AD146" s="5">
        <v>7314.0891403434971</v>
      </c>
      <c r="AE146" s="5">
        <v>7608.3183472041646</v>
      </c>
      <c r="AF146" s="5">
        <v>8094.4466120065499</v>
      </c>
      <c r="AG146" s="5">
        <v>7760.3557871408811</v>
      </c>
      <c r="AH146" s="5">
        <v>7796.5568550395928</v>
      </c>
      <c r="AI146" s="5">
        <v>7362.5472732628086</v>
      </c>
      <c r="AJ146" s="7">
        <v>7442.4783879784372</v>
      </c>
      <c r="AK146" s="7">
        <v>8205.8898454539049</v>
      </c>
      <c r="AL146" s="7">
        <v>7299.3685223151169</v>
      </c>
      <c r="AM146" s="7">
        <v>8244.8104525038088</v>
      </c>
      <c r="AN146" s="5">
        <v>8888.5988120019429</v>
      </c>
      <c r="AO146" s="5">
        <v>9224.340780688095</v>
      </c>
      <c r="AP146" s="5">
        <v>8965.6212162027223</v>
      </c>
      <c r="AQ146" s="5">
        <v>9269.6222347706789</v>
      </c>
      <c r="AR146" s="5">
        <v>7531.5703432727778</v>
      </c>
      <c r="AS146" s="5">
        <v>7823.5997886457335</v>
      </c>
      <c r="AT146" s="5">
        <v>5508.8239729710685</v>
      </c>
      <c r="AU146" s="5">
        <v>5337.4608651699318</v>
      </c>
      <c r="AV146" s="5">
        <v>5849.5161539289893</v>
      </c>
      <c r="AW146" s="5">
        <v>5839.7601037109807</v>
      </c>
      <c r="AX146" s="5">
        <v>5876.2722961258187</v>
      </c>
      <c r="AY146" s="5">
        <v>6183.8120638833907</v>
      </c>
      <c r="AZ146" s="5">
        <v>6776.3932281378902</v>
      </c>
      <c r="BA146" s="5">
        <v>7037.5241999513746</v>
      </c>
      <c r="BB146" s="5">
        <v>6928.9451197342059</v>
      </c>
      <c r="BC146" s="5">
        <v>6734.8129733964925</v>
      </c>
      <c r="BD146" s="5">
        <v>6945.4678552738869</v>
      </c>
      <c r="BE146" s="5">
        <v>7064.7855939416386</v>
      </c>
      <c r="BF146" s="5">
        <v>7351.0813452164402</v>
      </c>
      <c r="BG146" s="5">
        <v>7699.9051431709768</v>
      </c>
      <c r="BH146" s="5">
        <v>8224.7969975566757</v>
      </c>
      <c r="BI146" s="5">
        <v>8743.373866434129</v>
      </c>
      <c r="BJ146" s="5">
        <v>9876.7501338750662</v>
      </c>
      <c r="BK146" s="5">
        <v>8983.5797348669403</v>
      </c>
      <c r="BL146" s="5">
        <v>9475.8294419557642</v>
      </c>
      <c r="BM146" s="5">
        <v>9928.159115413333</v>
      </c>
      <c r="BN146" s="5">
        <v>10066.990016773987</v>
      </c>
      <c r="BO146" s="5">
        <v>10154.973153703146</v>
      </c>
      <c r="BP146" s="5">
        <v>10072.74965607591</v>
      </c>
      <c r="BQ146" s="5">
        <v>11206.449632331964</v>
      </c>
      <c r="BR146" s="5">
        <v>13336.312797838746</v>
      </c>
      <c r="BS146" s="5">
        <v>12597.614108137032</v>
      </c>
      <c r="BT146" s="5">
        <v>12882.245873949174</v>
      </c>
      <c r="BU146" s="5">
        <v>14591.354029800323</v>
      </c>
      <c r="BV146" s="5">
        <v>14837.062180559351</v>
      </c>
      <c r="BW146" s="5">
        <v>16980.051673787362</v>
      </c>
      <c r="BX146" s="5">
        <v>17836.407900433715</v>
      </c>
      <c r="BY146" s="5">
        <v>18057.220558788162</v>
      </c>
      <c r="BZ146" s="5">
        <v>26342.764301582567</v>
      </c>
      <c r="CA146" s="5">
        <v>34488.34588225215</v>
      </c>
    </row>
    <row r="147" spans="1:79" x14ac:dyDescent="0.2">
      <c r="A147" t="s">
        <v>231</v>
      </c>
      <c r="C147" t="s">
        <v>232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s="7">
        <v>5030.6287030347657</v>
      </c>
      <c r="AJ147" s="7">
        <v>5078.7155950490696</v>
      </c>
      <c r="AK147" s="7">
        <v>4574.419727514457</v>
      </c>
      <c r="AL147" s="7">
        <v>4703.8844367837346</v>
      </c>
      <c r="AM147" s="7">
        <v>4796.3592291189325</v>
      </c>
      <c r="AN147" s="7">
        <v>10831.880675529515</v>
      </c>
      <c r="AO147" s="7">
        <v>11491.534194187261</v>
      </c>
      <c r="AP147" s="7">
        <v>9412.5013985863661</v>
      </c>
      <c r="AQ147" s="7">
        <v>10254.732478991918</v>
      </c>
      <c r="AR147" s="7">
        <v>10920.550292555767</v>
      </c>
      <c r="AS147" s="7">
        <v>4809.900559637681</v>
      </c>
      <c r="AT147" s="7">
        <v>4988.891309609462</v>
      </c>
      <c r="AU147" s="7">
        <v>3902.5724908097582</v>
      </c>
      <c r="AV147" s="7">
        <v>2355.9207065724399</v>
      </c>
      <c r="AW147" s="7">
        <v>2809.4226540786517</v>
      </c>
      <c r="AX147" s="7">
        <v>2739.3235684390293</v>
      </c>
      <c r="AY147" s="7">
        <v>2662.136673804087</v>
      </c>
      <c r="AZ147" s="7">
        <v>2984.8911797041187</v>
      </c>
      <c r="BA147" s="7">
        <v>2710.9691451995227</v>
      </c>
      <c r="BB147" s="5">
        <v>2446.5884526859882</v>
      </c>
      <c r="BC147" s="5">
        <v>2328.8019067417813</v>
      </c>
      <c r="BD147" s="5">
        <v>2442.3518968747949</v>
      </c>
      <c r="BE147" s="5">
        <v>2429.1782774681938</v>
      </c>
      <c r="BF147" s="5">
        <v>2505.7102947126987</v>
      </c>
      <c r="BG147" s="5">
        <v>2694.5461226631769</v>
      </c>
      <c r="BH147" s="5">
        <v>2849.508994098127</v>
      </c>
      <c r="BI147" s="5">
        <v>2937.5302392955869</v>
      </c>
      <c r="BJ147" s="5">
        <v>2816.9637082539616</v>
      </c>
      <c r="BK147" s="5">
        <v>3104.6138337832499</v>
      </c>
      <c r="BL147" s="5">
        <v>2639.8190650985293</v>
      </c>
      <c r="BM147" s="5">
        <v>2431.2615743574129</v>
      </c>
      <c r="BN147" s="5">
        <v>2515.0410737450493</v>
      </c>
      <c r="BO147" s="5">
        <v>2446.5973336204047</v>
      </c>
      <c r="BP147" s="5">
        <v>2633.0389649367335</v>
      </c>
      <c r="BQ147" s="5">
        <v>2877.3024853349111</v>
      </c>
      <c r="BR147" s="5">
        <v>3319.2555606547867</v>
      </c>
      <c r="BS147" s="5">
        <v>3502.1190188373816</v>
      </c>
      <c r="BT147" s="5">
        <v>4751.8666837305964</v>
      </c>
      <c r="BU147" s="5">
        <v>5284.960581862103</v>
      </c>
      <c r="BV147" s="5">
        <v>5785.1544990536422</v>
      </c>
      <c r="BW147" s="5">
        <v>6188.2033067307593</v>
      </c>
      <c r="BX147" s="5">
        <v>6053.264686418519</v>
      </c>
      <c r="BY147" s="5">
        <v>5871.9159542195448</v>
      </c>
      <c r="BZ147" s="5">
        <v>5628.0335359518431</v>
      </c>
      <c r="CA147" s="5">
        <v>8065.7545238293069</v>
      </c>
    </row>
    <row r="148" spans="1:79" x14ac:dyDescent="0.2">
      <c r="A148" t="s">
        <v>233</v>
      </c>
      <c r="C148" t="s">
        <v>234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  <c r="AI148" t="s">
        <v>6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t="s">
        <v>6</v>
      </c>
      <c r="AW148" t="s">
        <v>6</v>
      </c>
      <c r="AX148" t="s">
        <v>6</v>
      </c>
      <c r="AY148" s="5">
        <v>1382.8942710366882</v>
      </c>
      <c r="AZ148" s="5">
        <v>1534.889591107579</v>
      </c>
      <c r="BA148" s="5">
        <v>1405.0049698273658</v>
      </c>
      <c r="BB148" s="5">
        <v>1316.8874302718918</v>
      </c>
      <c r="BC148" s="5">
        <v>1905.3040524722917</v>
      </c>
      <c r="BD148" s="5">
        <v>1517.0658527510486</v>
      </c>
      <c r="BE148" s="5">
        <v>1678.0262169821185</v>
      </c>
      <c r="BF148" s="5">
        <v>1470.4015856400054</v>
      </c>
      <c r="BG148" s="5">
        <v>1358.4929497364847</v>
      </c>
      <c r="BH148" s="5">
        <v>1138.5246733658012</v>
      </c>
      <c r="BI148" s="5">
        <v>1148.7629462186585</v>
      </c>
      <c r="BJ148" s="5">
        <v>1295.271804864758</v>
      </c>
      <c r="BK148" s="5">
        <v>1256.8010331981611</v>
      </c>
      <c r="BL148" s="5">
        <v>1235.6148063808998</v>
      </c>
      <c r="BM148" s="5">
        <v>1198.8147753180142</v>
      </c>
      <c r="BN148" s="5">
        <v>1151.3949391317706</v>
      </c>
      <c r="BO148" s="7">
        <v>1127.987785559252</v>
      </c>
      <c r="BP148" s="7">
        <v>1092.5700545964769</v>
      </c>
      <c r="BQ148" s="7">
        <v>1094.8180256098203</v>
      </c>
      <c r="BR148" s="7">
        <v>1013.0763477875629</v>
      </c>
      <c r="BS148" s="7">
        <v>1147.6216267565321</v>
      </c>
      <c r="BT148" s="7">
        <v>1108.049428800442</v>
      </c>
      <c r="BU148" s="7">
        <v>1333.9252226284516</v>
      </c>
      <c r="BV148" s="7">
        <v>1518.9842097271512</v>
      </c>
      <c r="BW148" s="7">
        <v>1599.2882187803684</v>
      </c>
      <c r="BX148" s="7">
        <v>2084.1287090217957</v>
      </c>
      <c r="BY148" s="7">
        <v>1680.6067500876995</v>
      </c>
      <c r="BZ148" s="7">
        <v>1796.8794401048397</v>
      </c>
      <c r="CA148" s="7">
        <v>2219.7350906830989</v>
      </c>
    </row>
    <row r="149" spans="1:79" x14ac:dyDescent="0.2">
      <c r="A149" t="s">
        <v>235</v>
      </c>
      <c r="C149" t="s">
        <v>4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t="s">
        <v>6</v>
      </c>
      <c r="AV149" s="5">
        <v>1258.6196593627033</v>
      </c>
      <c r="AW149" s="5">
        <v>1299.1037044620944</v>
      </c>
      <c r="AX149" s="5">
        <v>2300.7077915079462</v>
      </c>
      <c r="AY149" s="5">
        <v>2286.4598297894399</v>
      </c>
      <c r="AZ149" s="5">
        <v>1839.3448839865991</v>
      </c>
      <c r="BA149" s="5">
        <v>1438.548696997711</v>
      </c>
      <c r="BB149" s="5">
        <v>1256.8177874911951</v>
      </c>
      <c r="BC149" s="5">
        <v>1306.3529989126907</v>
      </c>
      <c r="BD149" s="5">
        <v>1471.4587616940769</v>
      </c>
      <c r="BE149" s="5">
        <v>1493.849475014785</v>
      </c>
      <c r="BF149" s="5">
        <v>1584.3924615710332</v>
      </c>
      <c r="BG149" s="5">
        <v>1471.8360021294739</v>
      </c>
      <c r="BH149" s="5">
        <v>1595.0188121119788</v>
      </c>
      <c r="BI149" s="5">
        <v>1617.8801965182618</v>
      </c>
      <c r="BJ149" s="5">
        <v>1636.515928120569</v>
      </c>
      <c r="BK149" s="5">
        <v>1677.1670346320489</v>
      </c>
      <c r="BL149" s="5">
        <v>1602.692617050219</v>
      </c>
      <c r="BM149" s="5">
        <v>1402.9449187464888</v>
      </c>
      <c r="BN149" s="5">
        <v>1203.8713305748427</v>
      </c>
      <c r="BO149" s="5">
        <v>1204.4435987632053</v>
      </c>
      <c r="BP149" s="5">
        <v>1090.5699076414189</v>
      </c>
      <c r="BQ149" s="5">
        <v>1125.8349589331024</v>
      </c>
      <c r="BR149" s="5">
        <v>1335.2831347477988</v>
      </c>
      <c r="BS149" s="5">
        <v>1369.4404687830827</v>
      </c>
      <c r="BT149" s="5">
        <v>1393.4353522984131</v>
      </c>
      <c r="BU149" s="5">
        <v>1596.2253990159174</v>
      </c>
      <c r="BV149" s="5">
        <v>2279.8023504190433</v>
      </c>
      <c r="BW149" s="5">
        <v>2494.8592840512283</v>
      </c>
      <c r="BX149" s="5">
        <v>2351.3451748758398</v>
      </c>
      <c r="BY149" s="5">
        <v>2368.0197170576744</v>
      </c>
      <c r="BZ149" s="5">
        <v>2441.6489124938962</v>
      </c>
      <c r="CA149" s="5">
        <v>2768.6932042723975</v>
      </c>
    </row>
    <row r="150" spans="1:79" x14ac:dyDescent="0.2">
      <c r="A150" t="s">
        <v>236</v>
      </c>
      <c r="C150" t="s">
        <v>4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t="s">
        <v>6</v>
      </c>
      <c r="AU150" s="7">
        <v>555.35019561503543</v>
      </c>
      <c r="AV150" s="7">
        <v>476.54701463470923</v>
      </c>
      <c r="AW150" s="5">
        <v>462.87675714486204</v>
      </c>
      <c r="AX150" s="5">
        <v>527.91622877780696</v>
      </c>
      <c r="AY150" s="5">
        <v>541.13570990228902</v>
      </c>
      <c r="AZ150" s="5">
        <v>519.16142010565204</v>
      </c>
      <c r="BA150" s="5">
        <v>518.43948879974164</v>
      </c>
      <c r="BB150" s="5">
        <v>487.67522220219746</v>
      </c>
      <c r="BC150" s="5">
        <v>443.81889380826789</v>
      </c>
      <c r="BD150" s="5">
        <v>545.02081550229695</v>
      </c>
      <c r="BE150" s="5">
        <v>604.40702458944315</v>
      </c>
      <c r="BF150" s="5">
        <v>629.48871180041647</v>
      </c>
      <c r="BG150" s="5">
        <v>667.659096145376</v>
      </c>
      <c r="BH150" s="5">
        <v>680.60470270964447</v>
      </c>
      <c r="BI150" s="5">
        <v>779.72691399800067</v>
      </c>
      <c r="BJ150" s="5">
        <v>784.37519325471271</v>
      </c>
      <c r="BK150" s="5">
        <v>830.64533296068726</v>
      </c>
      <c r="BL150" s="5">
        <v>836.62196902267885</v>
      </c>
      <c r="BM150" s="5">
        <v>833.1080786162936</v>
      </c>
      <c r="BN150" s="5">
        <v>672.22080836695238</v>
      </c>
      <c r="BO150" s="5">
        <v>578.77177562879501</v>
      </c>
      <c r="BP150" s="5">
        <v>513.12713644862811</v>
      </c>
      <c r="BQ150" s="5">
        <v>491.71370416095988</v>
      </c>
      <c r="BR150" s="5">
        <v>487.45385005148501</v>
      </c>
      <c r="BS150" s="5">
        <v>548.17180007779245</v>
      </c>
      <c r="BT150" s="5">
        <v>561.88565921982899</v>
      </c>
      <c r="BU150" s="5">
        <v>586.71722192250809</v>
      </c>
      <c r="BV150" s="5">
        <v>658.50031133538982</v>
      </c>
      <c r="BW150" s="5">
        <v>641.22170699593062</v>
      </c>
      <c r="BX150" s="5">
        <v>814.87628544302447</v>
      </c>
      <c r="BY150" s="5">
        <v>855.53161478486845</v>
      </c>
      <c r="BZ150" s="5">
        <v>912.91740312271781</v>
      </c>
      <c r="CA150" s="5">
        <v>931.91373573623741</v>
      </c>
    </row>
    <row r="151" spans="1:79" x14ac:dyDescent="0.2">
      <c r="A151" t="s">
        <v>22</v>
      </c>
      <c r="C151" t="s">
        <v>237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  <c r="AI151" t="s">
        <v>6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6</v>
      </c>
      <c r="AT151" t="s">
        <v>6</v>
      </c>
      <c r="AU151" t="s">
        <v>6</v>
      </c>
      <c r="AV151" t="s">
        <v>215</v>
      </c>
      <c r="AW151" t="s">
        <v>215</v>
      </c>
      <c r="AX151" t="s">
        <v>215</v>
      </c>
      <c r="AY151" t="s">
        <v>215</v>
      </c>
      <c r="AZ151" t="s">
        <v>215</v>
      </c>
      <c r="BA151" t="s">
        <v>215</v>
      </c>
      <c r="BB151" t="s">
        <v>215</v>
      </c>
      <c r="BC151" t="s">
        <v>215</v>
      </c>
      <c r="BD151" t="s">
        <v>215</v>
      </c>
      <c r="BE151" t="s">
        <v>215</v>
      </c>
      <c r="BF151" t="s">
        <v>215</v>
      </c>
      <c r="BG151" t="s">
        <v>215</v>
      </c>
      <c r="BH151" t="s">
        <v>215</v>
      </c>
      <c r="BI151" t="s">
        <v>215</v>
      </c>
      <c r="BJ151" t="s">
        <v>215</v>
      </c>
      <c r="BK151" t="s">
        <v>215</v>
      </c>
      <c r="BL151" t="s">
        <v>215</v>
      </c>
      <c r="BM151" t="s">
        <v>215</v>
      </c>
      <c r="BN151" t="s">
        <v>215</v>
      </c>
      <c r="BO151" t="s">
        <v>215</v>
      </c>
      <c r="BP151" t="s">
        <v>215</v>
      </c>
      <c r="BQ151" t="s">
        <v>215</v>
      </c>
      <c r="BR151" t="s">
        <v>215</v>
      </c>
      <c r="BS151" t="s">
        <v>215</v>
      </c>
      <c r="BT151" t="s">
        <v>215</v>
      </c>
      <c r="BU151" t="s">
        <v>215</v>
      </c>
      <c r="BV151" t="s">
        <v>215</v>
      </c>
      <c r="BW151" t="s">
        <v>215</v>
      </c>
      <c r="BX151" t="s">
        <v>215</v>
      </c>
      <c r="BY151" t="s">
        <v>215</v>
      </c>
      <c r="BZ151" t="s">
        <v>215</v>
      </c>
      <c r="CA151" t="s">
        <v>215</v>
      </c>
    </row>
    <row r="152" spans="1:79" x14ac:dyDescent="0.2">
      <c r="A152" s="4" t="s">
        <v>24</v>
      </c>
    </row>
    <row r="153" spans="1:79" x14ac:dyDescent="0.2">
      <c r="A153" t="s">
        <v>238</v>
      </c>
      <c r="C153" t="s">
        <v>239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t="s">
        <v>6</v>
      </c>
      <c r="AU153" s="5">
        <v>207.75189731493049</v>
      </c>
      <c r="AV153" s="5">
        <v>76.622594752494493</v>
      </c>
      <c r="AW153" t="s">
        <v>6</v>
      </c>
      <c r="AX153" s="5">
        <v>189.35410523372016</v>
      </c>
      <c r="AY153" s="5">
        <v>163.31148269533875</v>
      </c>
      <c r="AZ153" s="5">
        <v>207.65820280736153</v>
      </c>
      <c r="BA153" s="5">
        <v>204.83343334109864</v>
      </c>
      <c r="BB153" s="5">
        <v>220.43558667575343</v>
      </c>
      <c r="BC153" s="5">
        <v>223.44900212910395</v>
      </c>
      <c r="BD153" s="5">
        <v>216.96845160435518</v>
      </c>
      <c r="BE153" s="5">
        <v>214.59335162216314</v>
      </c>
      <c r="BF153" s="5">
        <v>247.12583632862555</v>
      </c>
      <c r="BG153" s="5">
        <v>272.68611574255283</v>
      </c>
      <c r="BH153" s="5">
        <v>333.61411859225666</v>
      </c>
      <c r="BI153" s="5">
        <v>394.10380633437637</v>
      </c>
      <c r="BJ153" s="5">
        <v>461.95844848330819</v>
      </c>
      <c r="BK153" s="5">
        <v>536.15369720826698</v>
      </c>
      <c r="BL153" s="5">
        <v>558.87809646222627</v>
      </c>
      <c r="BM153" s="5">
        <v>583.88578222864135</v>
      </c>
      <c r="BN153" s="5">
        <v>535.04320254358197</v>
      </c>
      <c r="BO153" s="5">
        <v>547.85462627997731</v>
      </c>
      <c r="BP153" s="5">
        <v>616.77184502322359</v>
      </c>
      <c r="BQ153" s="5">
        <v>626.25069656846597</v>
      </c>
      <c r="BR153" s="5">
        <v>677.91426760781201</v>
      </c>
      <c r="BS153" s="5">
        <v>666.53069182315846</v>
      </c>
      <c r="BT153" s="5">
        <v>682.25893243136147</v>
      </c>
      <c r="BU153" s="5">
        <v>770.10767073627039</v>
      </c>
      <c r="BV153" s="5">
        <v>959.36843321931701</v>
      </c>
      <c r="BW153" s="5">
        <v>931.9730987626798</v>
      </c>
      <c r="BX153" s="5">
        <v>881.29217112777928</v>
      </c>
      <c r="BY153" s="5">
        <v>901.65747546010334</v>
      </c>
      <c r="BZ153" s="5">
        <v>1326.2456793866888</v>
      </c>
      <c r="CA153" s="5">
        <v>1416.4514745992349</v>
      </c>
    </row>
    <row r="154" spans="1:79" x14ac:dyDescent="0.2">
      <c r="A154" t="s">
        <v>240</v>
      </c>
      <c r="C154" t="s">
        <v>241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  <c r="AI154" t="s">
        <v>6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t="s">
        <v>6</v>
      </c>
      <c r="AU154" s="7">
        <v>390.9849612932083</v>
      </c>
      <c r="AV154" s="7">
        <v>411.25432310373486</v>
      </c>
      <c r="AW154" s="7">
        <v>207.77875145990151</v>
      </c>
      <c r="AX154" s="7">
        <v>171.81787466491323</v>
      </c>
      <c r="AY154" s="7">
        <v>151.28729459053213</v>
      </c>
      <c r="AZ154" s="7">
        <v>173.87766139410624</v>
      </c>
      <c r="BA154" s="7">
        <v>198.15106115474541</v>
      </c>
      <c r="BB154" s="7">
        <v>258.63637811632793</v>
      </c>
      <c r="BC154" s="7">
        <v>274.30258753601959</v>
      </c>
      <c r="BD154" s="7">
        <v>309.58938651719291</v>
      </c>
      <c r="BE154" s="7">
        <v>333.39669954385869</v>
      </c>
      <c r="BF154" s="7">
        <v>416.24844778597571</v>
      </c>
      <c r="BG154" s="7">
        <v>504.58608500599445</v>
      </c>
      <c r="BH154" s="5">
        <v>591.05736592941162</v>
      </c>
      <c r="BI154" s="5">
        <v>1214.5425321818475</v>
      </c>
      <c r="BJ154" s="5">
        <v>1319.3372970960536</v>
      </c>
      <c r="BK154" s="5">
        <v>1776.0297700219573</v>
      </c>
      <c r="BL154" s="5">
        <v>1568.7941468822728</v>
      </c>
      <c r="BM154" s="5">
        <v>1485.4710967463902</v>
      </c>
      <c r="BN154" s="5">
        <v>2825.966771197443</v>
      </c>
      <c r="BO154" s="5">
        <v>2931.5430551347076</v>
      </c>
      <c r="BP154" s="5">
        <v>2965.5521692985553</v>
      </c>
      <c r="BQ154" s="5">
        <v>2976.6114753474208</v>
      </c>
      <c r="BR154" s="5">
        <v>3162.9791267805786</v>
      </c>
      <c r="BS154" s="5">
        <v>2109.5897551053613</v>
      </c>
      <c r="BT154" s="5">
        <v>2214.3207937910629</v>
      </c>
      <c r="BU154" s="5">
        <v>2329.7523578724899</v>
      </c>
      <c r="BV154" s="5">
        <v>2518.0659592584111</v>
      </c>
      <c r="BW154" s="5">
        <v>2957.2047878477397</v>
      </c>
      <c r="BX154" s="5">
        <v>3349.0600413456114</v>
      </c>
      <c r="BY154" s="5">
        <v>3254.6462740207385</v>
      </c>
      <c r="BZ154" s="5">
        <v>3561.670588235294</v>
      </c>
      <c r="CA154" s="5">
        <v>3699.4025622473364</v>
      </c>
    </row>
    <row r="155" spans="1:79" x14ac:dyDescent="0.2">
      <c r="A155" t="s">
        <v>242</v>
      </c>
      <c r="C155" t="s">
        <v>5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  <c r="AI155" t="s">
        <v>6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t="s">
        <v>6</v>
      </c>
      <c r="AU155" s="7">
        <v>278.23020621006305</v>
      </c>
      <c r="AV155" s="7">
        <v>395.3465871666051</v>
      </c>
      <c r="AW155" s="7">
        <v>397.03066094050962</v>
      </c>
      <c r="AX155" s="7">
        <v>156.6605144639193</v>
      </c>
      <c r="AY155" s="7">
        <v>120.25161778035624</v>
      </c>
      <c r="AZ155" s="7">
        <v>196.81189778250402</v>
      </c>
      <c r="BA155" s="7">
        <v>184.18511495914782</v>
      </c>
      <c r="BB155" s="7">
        <v>184.32150873804719</v>
      </c>
      <c r="BC155" s="7">
        <v>204.11823995915017</v>
      </c>
      <c r="BD155" s="5">
        <v>254.31648412723581</v>
      </c>
      <c r="BE155" s="5">
        <v>264.38046314977606</v>
      </c>
      <c r="BF155" s="5">
        <v>267.22935645373792</v>
      </c>
      <c r="BG155" s="5">
        <v>323.42986791908265</v>
      </c>
      <c r="BH155" s="5">
        <v>420.90723961308277</v>
      </c>
      <c r="BI155" s="5">
        <v>546.69984456840984</v>
      </c>
      <c r="BJ155" s="5">
        <v>596.49488821547777</v>
      </c>
      <c r="BK155" s="5">
        <v>611.28657821877448</v>
      </c>
      <c r="BL155" s="5">
        <v>541.22185661836454</v>
      </c>
      <c r="BM155" s="5">
        <v>608.90408118885091</v>
      </c>
      <c r="BN155" s="5">
        <v>653.82338935681821</v>
      </c>
      <c r="BO155" s="5">
        <v>734.72957873204041</v>
      </c>
      <c r="BP155" s="5">
        <v>786.3010242833551</v>
      </c>
      <c r="BQ155" s="5">
        <v>655.99072858913553</v>
      </c>
      <c r="BR155" s="5">
        <v>703.90953087046773</v>
      </c>
      <c r="BS155" s="5">
        <v>889.66974970178171</v>
      </c>
      <c r="BT155" s="5">
        <v>841.68704166175382</v>
      </c>
      <c r="BU155" s="5">
        <v>1040.6686417243345</v>
      </c>
      <c r="BV155" s="5">
        <v>985.58269328809365</v>
      </c>
      <c r="BW155" s="5">
        <v>1042.7357319260714</v>
      </c>
      <c r="BX155" s="5">
        <v>1094.9613370693323</v>
      </c>
      <c r="BY155" s="5">
        <v>1241.7427872715471</v>
      </c>
      <c r="BZ155" s="5">
        <v>1579.3310785419017</v>
      </c>
      <c r="CA155" s="5">
        <v>1725.3729133219892</v>
      </c>
    </row>
    <row r="156" spans="1:79" x14ac:dyDescent="0.2">
      <c r="A156" t="s">
        <v>243</v>
      </c>
      <c r="C156" t="s">
        <v>244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6</v>
      </c>
      <c r="AH156" t="s">
        <v>6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6</v>
      </c>
      <c r="AT156" t="s">
        <v>6</v>
      </c>
      <c r="AU156" t="s">
        <v>6</v>
      </c>
      <c r="AV156" t="s">
        <v>6</v>
      </c>
      <c r="AW156" t="s">
        <v>6</v>
      </c>
      <c r="AX156" t="s">
        <v>6</v>
      </c>
      <c r="AY156" s="5">
        <v>144.52793052239258</v>
      </c>
      <c r="AZ156" s="7">
        <v>90.132729005867986</v>
      </c>
      <c r="BA156" s="7">
        <v>87.028586580360951</v>
      </c>
      <c r="BB156" s="7">
        <v>67.005050585558237</v>
      </c>
      <c r="BC156" s="7">
        <v>45.710801420446323</v>
      </c>
      <c r="BD156" s="7">
        <v>58.006949585603373</v>
      </c>
      <c r="BE156" s="5">
        <v>82.961770496218648</v>
      </c>
      <c r="BF156" s="5">
        <v>100.91775348097643</v>
      </c>
      <c r="BG156" s="5">
        <v>140.88275826216082</v>
      </c>
      <c r="BH156" s="5">
        <v>374.18314392952033</v>
      </c>
      <c r="BI156" s="5">
        <v>635.66478719981831</v>
      </c>
      <c r="BJ156" s="5">
        <v>1258.5758172933597</v>
      </c>
      <c r="BK156" s="5">
        <v>1194.681090455977</v>
      </c>
      <c r="BL156" s="5">
        <v>728.68457946405999</v>
      </c>
      <c r="BM156" s="5">
        <v>546.12599643113253</v>
      </c>
      <c r="BN156" s="7">
        <v>491.39362446452594</v>
      </c>
      <c r="BO156" s="7">
        <v>509.75007958081238</v>
      </c>
      <c r="BP156" s="7">
        <v>463.56287585339902</v>
      </c>
      <c r="BQ156" s="7">
        <v>449.08014461009924</v>
      </c>
      <c r="BR156" s="5">
        <v>399.91107648982251</v>
      </c>
      <c r="BS156" s="5">
        <v>429.73162660034728</v>
      </c>
      <c r="BT156" s="5">
        <v>436.19712378907138</v>
      </c>
      <c r="BU156" s="5">
        <v>447.95165920300519</v>
      </c>
      <c r="BV156" s="5">
        <v>441.81155319335255</v>
      </c>
      <c r="BW156" s="5">
        <v>426.92250819388897</v>
      </c>
      <c r="BX156" s="5">
        <v>423.58338324996794</v>
      </c>
      <c r="BY156" s="5">
        <v>458.60944573481248</v>
      </c>
      <c r="BZ156" s="5">
        <v>508.40141939870364</v>
      </c>
      <c r="CA156" s="5">
        <v>632.34727390271553</v>
      </c>
    </row>
    <row r="157" spans="1:79" x14ac:dyDescent="0.2">
      <c r="A157" t="s">
        <v>245</v>
      </c>
      <c r="C157" t="s">
        <v>246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  <c r="AI157" t="s">
        <v>6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6</v>
      </c>
      <c r="AT157" t="s">
        <v>6</v>
      </c>
      <c r="AU157" t="s">
        <v>6</v>
      </c>
      <c r="AV157" s="5">
        <v>53.234889329473354</v>
      </c>
      <c r="AW157" s="5">
        <v>47.048276129539765</v>
      </c>
      <c r="AX157" s="5">
        <v>59.348987786327577</v>
      </c>
      <c r="AY157" s="5">
        <v>56.623219384828062</v>
      </c>
      <c r="AZ157" s="5">
        <v>57.681263912707372</v>
      </c>
      <c r="BA157" s="5">
        <v>37.92408550921558</v>
      </c>
      <c r="BB157" s="5">
        <v>30.10003182825179</v>
      </c>
      <c r="BC157" s="5">
        <v>23.033911794505215</v>
      </c>
      <c r="BD157" s="5">
        <v>25.427098507877798</v>
      </c>
      <c r="BE157" s="5">
        <v>29.813840187245969</v>
      </c>
      <c r="BF157" s="5">
        <v>32.399140290282148</v>
      </c>
      <c r="BG157" s="5">
        <v>28.950257387510913</v>
      </c>
      <c r="BH157" s="5">
        <v>33.700117632928198</v>
      </c>
      <c r="BI157" s="5">
        <v>42.831175630945907</v>
      </c>
      <c r="BJ157" s="5">
        <v>48.669969581542453</v>
      </c>
      <c r="BK157" s="5">
        <v>59.91124640036206</v>
      </c>
      <c r="BL157" s="5">
        <v>43.321612804725206</v>
      </c>
      <c r="BM157" s="5">
        <v>33.036595803312807</v>
      </c>
      <c r="BN157" s="5">
        <v>36.467654936169012</v>
      </c>
      <c r="BO157" s="5">
        <v>37.404790865960649</v>
      </c>
      <c r="BP157" s="5">
        <v>41.586653158458688</v>
      </c>
      <c r="BQ157" s="5">
        <v>45.540586324225067</v>
      </c>
      <c r="BR157" s="5">
        <v>46.55613095928863</v>
      </c>
      <c r="BS157" s="5">
        <v>55.225197103347917</v>
      </c>
      <c r="BT157" s="5">
        <v>54.083416954129767</v>
      </c>
      <c r="BU157" s="5">
        <v>57.731897532755056</v>
      </c>
      <c r="BV157" s="5">
        <v>65.462622764189888</v>
      </c>
      <c r="BW157" s="5">
        <v>65.029483742607042</v>
      </c>
      <c r="BX157" s="5">
        <v>72.091675293204574</v>
      </c>
      <c r="BY157" s="5">
        <v>61.693517787906146</v>
      </c>
      <c r="BZ157" s="5">
        <v>94.362905356317285</v>
      </c>
      <c r="CA157" s="5">
        <v>103.15856369255985</v>
      </c>
    </row>
    <row r="158" spans="1:79" x14ac:dyDescent="0.2">
      <c r="A158" t="s">
        <v>247</v>
      </c>
      <c r="C158" t="s">
        <v>248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  <c r="AI158" t="s">
        <v>6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6</v>
      </c>
      <c r="AT158" t="s">
        <v>6</v>
      </c>
      <c r="AU158" s="7">
        <v>47565.801494153267</v>
      </c>
      <c r="AV158" s="7">
        <v>41580.900704638792</v>
      </c>
      <c r="AW158" s="7">
        <v>39308.192916256281</v>
      </c>
      <c r="AX158" s="7">
        <v>25863.250922567539</v>
      </c>
      <c r="AY158" s="7">
        <v>24420.903325547035</v>
      </c>
      <c r="AZ158" s="7">
        <v>26698.653950634482</v>
      </c>
      <c r="BA158" s="7">
        <v>15877.505459654209</v>
      </c>
      <c r="BB158" s="7">
        <v>17632.271635195848</v>
      </c>
      <c r="BC158" s="7">
        <v>23790.006665770419</v>
      </c>
      <c r="BD158" s="7">
        <v>25709.877317421338</v>
      </c>
      <c r="BE158" s="7">
        <v>28481.201266197055</v>
      </c>
      <c r="BF158" s="7">
        <v>29863.595168379532</v>
      </c>
      <c r="BG158" s="7">
        <v>31213.874688561737</v>
      </c>
      <c r="BH158" s="7">
        <v>35471.748594574346</v>
      </c>
      <c r="BI158" s="7">
        <v>39261.842524068677</v>
      </c>
      <c r="BJ158" s="7">
        <v>42736.570059547441</v>
      </c>
      <c r="BK158" s="7">
        <v>46957.880254405638</v>
      </c>
      <c r="BL158" s="7">
        <v>49267.718710442859</v>
      </c>
      <c r="BM158" s="7">
        <v>50269.26202757431</v>
      </c>
      <c r="BN158" s="7">
        <v>53649.246901218896</v>
      </c>
      <c r="BO158" s="7">
        <v>62160.769499041322</v>
      </c>
      <c r="BP158" s="5">
        <v>65190.096908799474</v>
      </c>
      <c r="BQ158" s="5">
        <v>69865.767444083365</v>
      </c>
      <c r="BR158" s="5">
        <v>75301.202811271694</v>
      </c>
      <c r="BS158" s="5">
        <v>80726.072789428741</v>
      </c>
      <c r="BT158" s="5">
        <v>65414.056836522795</v>
      </c>
      <c r="BU158" s="5">
        <v>62949.405053537914</v>
      </c>
      <c r="BV158" s="5">
        <v>65770.956066276165</v>
      </c>
      <c r="BW158" s="5">
        <v>67316.156711843811</v>
      </c>
      <c r="BX158" s="5">
        <v>68649.755271530361</v>
      </c>
      <c r="BY158" s="7">
        <v>88877.368197142932</v>
      </c>
      <c r="BZ158" s="7">
        <v>109203.62473837858</v>
      </c>
      <c r="CA158" s="7">
        <v>150533.99675193994</v>
      </c>
    </row>
    <row r="159" spans="1:79" x14ac:dyDescent="0.2">
      <c r="A159" t="s">
        <v>249</v>
      </c>
      <c r="C159" t="s">
        <v>250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t="s">
        <v>6</v>
      </c>
      <c r="AV159" s="5">
        <v>396.89720646674471</v>
      </c>
      <c r="AW159" s="5">
        <v>1746.7865329827687</v>
      </c>
      <c r="AX159" s="5">
        <v>1877.0249057348331</v>
      </c>
      <c r="AY159" s="5">
        <v>1809.1030547024334</v>
      </c>
      <c r="AZ159" s="5">
        <v>2242.1594304090117</v>
      </c>
      <c r="BA159" s="5">
        <v>1812.3346820145437</v>
      </c>
      <c r="BB159" s="5">
        <v>1669.5151763986898</v>
      </c>
      <c r="BC159" s="5">
        <v>2070.1972793386863</v>
      </c>
      <c r="BD159" s="5">
        <v>1748.6035206427325</v>
      </c>
      <c r="BE159" s="5">
        <v>1859.5049252621377</v>
      </c>
      <c r="BF159" s="5">
        <v>2148.5477694985916</v>
      </c>
      <c r="BG159" s="7">
        <v>2319.0522176133995</v>
      </c>
      <c r="BH159" s="7">
        <v>2808.4722443419091</v>
      </c>
      <c r="BI159" s="7">
        <v>3150.7191845013808</v>
      </c>
      <c r="BJ159" s="7">
        <v>3829.6275995363744</v>
      </c>
      <c r="BK159" s="7">
        <v>3746.4956331972421</v>
      </c>
      <c r="BL159" s="7">
        <v>3431.8922529391671</v>
      </c>
      <c r="BM159" s="7">
        <v>3452.3092528542461</v>
      </c>
      <c r="BN159" s="7">
        <v>3172.1670008119668</v>
      </c>
      <c r="BO159" s="7">
        <v>3551.8352066701341</v>
      </c>
      <c r="BP159" s="7">
        <v>3776.0041843650692</v>
      </c>
      <c r="BQ159" s="7">
        <v>4525.233548594997</v>
      </c>
      <c r="BR159" s="7">
        <v>4944.9110014664211</v>
      </c>
      <c r="BS159" s="7">
        <v>4964.674866804763</v>
      </c>
      <c r="BT159" s="7">
        <v>4793.4513840944228</v>
      </c>
      <c r="BU159" s="7">
        <v>5782.7999493791676</v>
      </c>
      <c r="BV159" s="7">
        <v>6700.552181793033</v>
      </c>
      <c r="BW159" s="7">
        <v>7436.0481237124804</v>
      </c>
      <c r="BX159" s="7">
        <v>6882.8358272122568</v>
      </c>
      <c r="BY159" s="7">
        <v>41205.164991108912</v>
      </c>
      <c r="BZ159" s="7">
        <v>64908.02532704769</v>
      </c>
      <c r="CA159" s="7">
        <v>66784.434887348441</v>
      </c>
    </row>
    <row r="160" spans="1:79" x14ac:dyDescent="0.2">
      <c r="A160" t="s">
        <v>251</v>
      </c>
      <c r="C160" t="s">
        <v>5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s="7">
        <v>282701.38708126801</v>
      </c>
      <c r="AR160" s="7">
        <v>262132.32390179703</v>
      </c>
      <c r="AS160" s="7">
        <v>221760.29946222797</v>
      </c>
      <c r="AT160" t="s">
        <v>6</v>
      </c>
      <c r="AU160" t="s">
        <v>215</v>
      </c>
      <c r="AV160" t="s">
        <v>215</v>
      </c>
      <c r="AW160" t="s">
        <v>215</v>
      </c>
      <c r="AX160" t="s">
        <v>215</v>
      </c>
      <c r="AY160" t="s">
        <v>215</v>
      </c>
      <c r="AZ160" t="s">
        <v>215</v>
      </c>
      <c r="BA160" t="s">
        <v>215</v>
      </c>
      <c r="BB160" t="s">
        <v>215</v>
      </c>
      <c r="BC160" t="s">
        <v>215</v>
      </c>
      <c r="BD160" t="s">
        <v>215</v>
      </c>
      <c r="BE160" t="s">
        <v>215</v>
      </c>
      <c r="BF160" t="s">
        <v>215</v>
      </c>
      <c r="BG160" t="s">
        <v>215</v>
      </c>
      <c r="BH160" t="s">
        <v>215</v>
      </c>
      <c r="BI160" t="s">
        <v>215</v>
      </c>
      <c r="BJ160" t="s">
        <v>215</v>
      </c>
      <c r="BK160" t="s">
        <v>215</v>
      </c>
      <c r="BL160" t="s">
        <v>215</v>
      </c>
      <c r="BM160" t="s">
        <v>215</v>
      </c>
      <c r="BN160" t="s">
        <v>215</v>
      </c>
      <c r="BO160" t="s">
        <v>215</v>
      </c>
      <c r="BP160" t="s">
        <v>215</v>
      </c>
      <c r="BQ160" t="s">
        <v>215</v>
      </c>
      <c r="BR160" t="s">
        <v>215</v>
      </c>
      <c r="BS160" t="s">
        <v>215</v>
      </c>
      <c r="BT160" t="s">
        <v>215</v>
      </c>
      <c r="BU160" t="s">
        <v>215</v>
      </c>
      <c r="BV160" t="s">
        <v>215</v>
      </c>
      <c r="BW160" t="s">
        <v>215</v>
      </c>
      <c r="BX160" t="s">
        <v>215</v>
      </c>
      <c r="BY160" t="s">
        <v>215</v>
      </c>
      <c r="BZ160" t="s">
        <v>215</v>
      </c>
      <c r="CA160" t="s">
        <v>215</v>
      </c>
    </row>
    <row r="161" spans="1:79" x14ac:dyDescent="0.2">
      <c r="A161" s="4" t="s">
        <v>25</v>
      </c>
    </row>
    <row r="162" spans="1:79" x14ac:dyDescent="0.2">
      <c r="A162" t="s">
        <v>252</v>
      </c>
      <c r="C162" t="s">
        <v>5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t="s">
        <v>6</v>
      </c>
      <c r="L162" s="7">
        <v>1432.1970902241167</v>
      </c>
      <c r="M162" s="7">
        <v>1629.9009708673743</v>
      </c>
      <c r="N162" s="7">
        <v>1612.5658875839054</v>
      </c>
      <c r="O162" s="7">
        <v>1511.8749524866701</v>
      </c>
      <c r="P162" s="7">
        <v>1451.7124154220016</v>
      </c>
      <c r="Q162" s="7">
        <v>1528.231780418809</v>
      </c>
      <c r="R162" s="7">
        <v>1873.6861740087284</v>
      </c>
      <c r="S162" s="7">
        <v>2357.1983533962921</v>
      </c>
      <c r="T162" s="7">
        <v>1950.2759275692808</v>
      </c>
      <c r="U162" s="7">
        <v>2240.3489418960412</v>
      </c>
      <c r="V162" s="7">
        <v>2270.2513468111742</v>
      </c>
      <c r="W162" s="7">
        <v>2275.131223004953</v>
      </c>
      <c r="X162" s="7">
        <v>2341.8806983794875</v>
      </c>
      <c r="Y162" s="7">
        <v>2317.532401658782</v>
      </c>
      <c r="Z162" s="7">
        <v>2231.0212183263261</v>
      </c>
      <c r="AA162" s="7">
        <v>2312.8495060171622</v>
      </c>
      <c r="AB162" s="7">
        <v>2402.5556743649872</v>
      </c>
      <c r="AC162" s="7">
        <v>2690.5369422048543</v>
      </c>
      <c r="AD162" s="7">
        <v>2991.0426579857294</v>
      </c>
      <c r="AE162" s="7">
        <v>3052.8843934863435</v>
      </c>
      <c r="AF162" s="7">
        <v>3150.2539706230964</v>
      </c>
      <c r="AG162" s="7">
        <v>3413.7419904066633</v>
      </c>
      <c r="AH162" s="7">
        <v>3625.8632036440931</v>
      </c>
      <c r="AI162" s="7">
        <v>3624.1281149650104</v>
      </c>
      <c r="AJ162" s="7">
        <v>3512.1087906937141</v>
      </c>
      <c r="AK162" s="7">
        <v>3663.3900231227444</v>
      </c>
      <c r="AL162" s="7">
        <v>3720.3921784944728</v>
      </c>
      <c r="AM162" s="7">
        <v>3754.7587338055005</v>
      </c>
      <c r="AN162" s="7">
        <v>4107.6946116029994</v>
      </c>
      <c r="AO162" s="7">
        <v>4241.073755280494</v>
      </c>
      <c r="AP162" s="7">
        <v>4077.763909679677</v>
      </c>
      <c r="AQ162" s="7">
        <v>3855.1207327299471</v>
      </c>
      <c r="AR162" s="7">
        <v>3814.9604706043069</v>
      </c>
      <c r="AS162" s="7">
        <v>3857.7391323143133</v>
      </c>
      <c r="AT162" s="7">
        <v>3875.260536048288</v>
      </c>
      <c r="AU162" s="7">
        <v>3762.5735791281709</v>
      </c>
      <c r="AV162" s="7">
        <v>3798.7659249406647</v>
      </c>
      <c r="AW162" s="7">
        <v>3815.4638216227986</v>
      </c>
      <c r="AX162" s="7">
        <v>3781.9542920954159</v>
      </c>
      <c r="AY162" s="7">
        <v>3746.5401786488396</v>
      </c>
      <c r="AZ162" s="7">
        <v>3754.9572675896725</v>
      </c>
      <c r="BA162" s="7">
        <v>3765.2057892805992</v>
      </c>
      <c r="BB162" s="7">
        <v>3842.1735615690673</v>
      </c>
      <c r="BC162" s="7">
        <v>3934.8851042249717</v>
      </c>
      <c r="BD162" s="7">
        <v>3666.3980511175887</v>
      </c>
      <c r="BE162" s="5">
        <v>3602.0139993325124</v>
      </c>
      <c r="BF162" s="5">
        <v>3751.2209145923584</v>
      </c>
      <c r="BG162" s="5">
        <v>3757.8357003300089</v>
      </c>
      <c r="BH162" s="5">
        <v>3677.1248234997597</v>
      </c>
      <c r="BI162" s="5">
        <v>3531.8993928726563</v>
      </c>
      <c r="BJ162" s="5">
        <v>4200.1926917743758</v>
      </c>
      <c r="BK162" s="5">
        <v>4070.4391861141444</v>
      </c>
      <c r="BL162" s="5">
        <v>3800.8705307930713</v>
      </c>
      <c r="BM162" s="5">
        <v>3779.0454726000221</v>
      </c>
      <c r="BN162" s="5">
        <v>3693.1255835148913</v>
      </c>
      <c r="BO162" s="5">
        <v>3644.3956382218316</v>
      </c>
      <c r="BP162" s="5">
        <v>3502.9306784859582</v>
      </c>
      <c r="BQ162" s="5">
        <v>3531.4902968452379</v>
      </c>
      <c r="BR162" s="5">
        <v>3376.751528031401</v>
      </c>
      <c r="BS162" s="5">
        <v>3634.0593690397541</v>
      </c>
      <c r="BT162" s="5">
        <v>3815.7508255294051</v>
      </c>
      <c r="BU162" s="5">
        <v>3839.0269569975176</v>
      </c>
      <c r="BV162" s="5">
        <v>3925.7797762779837</v>
      </c>
      <c r="BW162" s="5">
        <v>4377.3187381788675</v>
      </c>
      <c r="BX162" s="5">
        <v>4486.5508148987519</v>
      </c>
      <c r="BY162" s="5">
        <v>4000.9633651175732</v>
      </c>
      <c r="BZ162" s="5">
        <v>4452.2279506138693</v>
      </c>
      <c r="CA162" s="5">
        <v>5096.6082507914725</v>
      </c>
    </row>
    <row r="163" spans="1:79" x14ac:dyDescent="0.2">
      <c r="A163" t="s">
        <v>253</v>
      </c>
      <c r="C163" t="s">
        <v>5</v>
      </c>
      <c r="D163" s="5">
        <v>2354.7389332496214</v>
      </c>
      <c r="E163" s="5">
        <v>2375.3134278114599</v>
      </c>
      <c r="F163" s="5">
        <v>3515.1939214875788</v>
      </c>
      <c r="G163" s="5">
        <v>5194.7619516746099</v>
      </c>
      <c r="H163" s="5">
        <v>5171.6541986295369</v>
      </c>
      <c r="I163" s="5">
        <v>5335.2066243970003</v>
      </c>
      <c r="J163" s="5">
        <v>4418.9425683621694</v>
      </c>
      <c r="K163" s="5">
        <v>4296.6191470621125</v>
      </c>
      <c r="L163" s="5">
        <v>4480.1095103306743</v>
      </c>
      <c r="M163" s="5">
        <v>4412.6499509266159</v>
      </c>
      <c r="N163" s="5">
        <v>4448.2057027396131</v>
      </c>
      <c r="O163" s="5">
        <v>4547.2350502865183</v>
      </c>
      <c r="P163" s="5">
        <v>4596.9502877603354</v>
      </c>
      <c r="Q163" s="5">
        <v>4892.5070958489296</v>
      </c>
      <c r="R163" s="5">
        <v>5043.2445965080506</v>
      </c>
      <c r="S163" s="5">
        <v>5412.2934887381643</v>
      </c>
      <c r="T163" s="5">
        <v>5239.465084269772</v>
      </c>
      <c r="U163" s="5">
        <v>5658.8882887791615</v>
      </c>
      <c r="V163" s="5">
        <v>5933.4489582318456</v>
      </c>
      <c r="W163" s="5">
        <v>6142.7925469308757</v>
      </c>
      <c r="X163" s="5">
        <v>6183.8828435462347</v>
      </c>
      <c r="Y163" s="5">
        <v>6591.6102873441705</v>
      </c>
      <c r="Z163" s="5">
        <v>6869.3759455952813</v>
      </c>
      <c r="AA163" s="5">
        <v>7240.4146838112365</v>
      </c>
      <c r="AB163" s="5">
        <v>7570.9695620683278</v>
      </c>
      <c r="AC163" s="5">
        <v>7677.085830713042</v>
      </c>
      <c r="AD163" s="5">
        <v>8359.3863122220573</v>
      </c>
      <c r="AE163" s="5">
        <v>8797.0187158060271</v>
      </c>
      <c r="AF163" s="5">
        <v>9023.7685942649514</v>
      </c>
      <c r="AG163" s="5">
        <v>9626.2961094589991</v>
      </c>
      <c r="AH163" s="5">
        <v>9838.0858160856842</v>
      </c>
      <c r="AI163" s="5">
        <v>10028.749702175741</v>
      </c>
      <c r="AJ163" s="5">
        <v>10117.583307137107</v>
      </c>
      <c r="AK163" s="5">
        <v>9782.227530713988</v>
      </c>
      <c r="AL163" s="5">
        <v>9394.5786245406871</v>
      </c>
      <c r="AM163" s="5">
        <v>8995.3129176219554</v>
      </c>
      <c r="AN163" s="5">
        <v>8890.4398978176323</v>
      </c>
      <c r="AO163" s="5">
        <v>9257.2943253646517</v>
      </c>
      <c r="AP163" s="5">
        <v>9316.0456416182205</v>
      </c>
      <c r="AQ163" s="5">
        <v>8926.0301884862638</v>
      </c>
      <c r="AR163" s="5">
        <v>8787.7017632136249</v>
      </c>
      <c r="AS163" s="5">
        <v>8621.4614105154506</v>
      </c>
      <c r="AT163" s="5">
        <v>8499.5581400428837</v>
      </c>
      <c r="AU163" s="5">
        <v>6979.058525319133</v>
      </c>
      <c r="AV163" s="5">
        <v>6627.3918462081238</v>
      </c>
      <c r="AW163" s="5">
        <v>6591.1396015329765</v>
      </c>
      <c r="AX163" s="5">
        <v>6456.537975510013</v>
      </c>
      <c r="AY163" s="5">
        <v>6333.7228805824834</v>
      </c>
      <c r="AZ163" s="5">
        <v>6254.0743668872883</v>
      </c>
      <c r="BA163" s="5">
        <v>6252.3431660881779</v>
      </c>
      <c r="BB163" s="5">
        <v>6333.8099437958435</v>
      </c>
      <c r="BC163" s="5">
        <v>6333.3644121435691</v>
      </c>
      <c r="BD163" s="5">
        <v>6054.9286735849664</v>
      </c>
      <c r="BE163" s="5">
        <v>5871.2436676116031</v>
      </c>
      <c r="BF163" s="5">
        <v>5934.9572551063029</v>
      </c>
      <c r="BG163" s="5">
        <v>5811.3485310268607</v>
      </c>
      <c r="BH163" s="5">
        <v>5599.7336376298881</v>
      </c>
      <c r="BI163" s="5">
        <v>5556.2077528696364</v>
      </c>
      <c r="BJ163" s="5">
        <v>5995.4096404218781</v>
      </c>
      <c r="BK163" s="5">
        <v>6536.2107779473372</v>
      </c>
      <c r="BL163" s="5">
        <v>6156.2519601939593</v>
      </c>
      <c r="BM163" s="5">
        <v>5896.3095135683352</v>
      </c>
      <c r="BN163" s="5">
        <v>5689.39938759489</v>
      </c>
      <c r="BO163" s="5">
        <v>5625.9973683242106</v>
      </c>
      <c r="BP163" s="5">
        <v>5482.4632581348696</v>
      </c>
      <c r="BQ163" s="5">
        <v>5393.5886711982475</v>
      </c>
      <c r="BR163" s="5">
        <v>5193.5120492888918</v>
      </c>
      <c r="BS163" s="5">
        <v>5172.2888941638721</v>
      </c>
      <c r="BT163" s="5">
        <v>5175.5696302836186</v>
      </c>
      <c r="BU163" s="5">
        <v>5288.6281537037976</v>
      </c>
      <c r="BV163" s="5">
        <v>5406.9724607190574</v>
      </c>
      <c r="BW163" s="5">
        <v>5887.564777469619</v>
      </c>
      <c r="BX163" s="5">
        <v>6500.0726978143057</v>
      </c>
      <c r="BY163" s="5">
        <v>7364.1111057697044</v>
      </c>
      <c r="BZ163" s="5">
        <v>7629.3965886059277</v>
      </c>
      <c r="CA163" s="5">
        <v>8196.9458033919636</v>
      </c>
    </row>
    <row r="164" spans="1:79" x14ac:dyDescent="0.2">
      <c r="A164" t="s">
        <v>254</v>
      </c>
      <c r="C164" t="s">
        <v>255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t="s">
        <v>6</v>
      </c>
      <c r="AN164" s="7">
        <v>89.14950205405593</v>
      </c>
      <c r="AO164" s="7">
        <v>118.11047947660529</v>
      </c>
      <c r="AP164" s="7">
        <v>436.78502276520663</v>
      </c>
      <c r="AQ164" s="7">
        <v>500.58863812053067</v>
      </c>
      <c r="AR164" s="7">
        <v>513.84204640343364</v>
      </c>
      <c r="AS164" s="7">
        <v>764.68972549634714</v>
      </c>
      <c r="AT164" s="7">
        <v>750.64065217532232</v>
      </c>
      <c r="AU164" s="7">
        <v>1027.4201407862704</v>
      </c>
      <c r="AV164" s="7">
        <v>461.58556734897286</v>
      </c>
      <c r="AW164" s="7">
        <v>485.34431958906282</v>
      </c>
      <c r="AX164" s="7">
        <v>435.28536311304606</v>
      </c>
      <c r="AY164" s="7">
        <v>653.25380302426561</v>
      </c>
      <c r="AZ164" s="7">
        <v>828.33195257345153</v>
      </c>
      <c r="BA164" s="7">
        <v>739.44643553586184</v>
      </c>
      <c r="BB164" s="7">
        <v>457.29168561592508</v>
      </c>
      <c r="BC164" s="7">
        <v>488.07630860265783</v>
      </c>
      <c r="BD164" s="7">
        <v>576.28015596821422</v>
      </c>
      <c r="BE164" s="7">
        <v>393.96141724737583</v>
      </c>
      <c r="BF164" s="7">
        <v>381.29373955508623</v>
      </c>
      <c r="BG164" s="5">
        <v>396.16095329417999</v>
      </c>
      <c r="BH164" s="5">
        <v>430.45784271230553</v>
      </c>
      <c r="BI164" s="5">
        <v>423.54712009006585</v>
      </c>
      <c r="BJ164" s="5">
        <v>401.48212317061245</v>
      </c>
      <c r="BK164" s="5">
        <v>402.81673010479608</v>
      </c>
      <c r="BL164" s="5">
        <v>439.73926998567657</v>
      </c>
      <c r="BM164" s="5">
        <v>456.25723890202426</v>
      </c>
      <c r="BN164" s="5">
        <v>422.73970745725035</v>
      </c>
      <c r="BO164" s="5">
        <v>385.95699412527614</v>
      </c>
      <c r="BP164" s="5">
        <v>348.23755832808376</v>
      </c>
      <c r="BQ164" s="5">
        <v>328.3992300572769</v>
      </c>
      <c r="BR164" s="5">
        <v>367.73405383583565</v>
      </c>
      <c r="BS164" s="5">
        <v>336.97811244767053</v>
      </c>
      <c r="BT164" s="5">
        <v>399.7847667019708</v>
      </c>
      <c r="BU164" s="5">
        <v>472.18040923466179</v>
      </c>
      <c r="BV164" s="5">
        <v>511.11525135309722</v>
      </c>
      <c r="BW164" s="5">
        <v>526.82139692177816</v>
      </c>
      <c r="BX164" s="5">
        <v>555.52990427786926</v>
      </c>
      <c r="BY164" s="5">
        <v>566.36511291707302</v>
      </c>
      <c r="BZ164" s="5">
        <v>558.87831081110278</v>
      </c>
      <c r="CA164" s="5">
        <v>584.72498267032699</v>
      </c>
    </row>
    <row r="165" spans="1:79" x14ac:dyDescent="0.2">
      <c r="A165" t="s">
        <v>256</v>
      </c>
      <c r="C165" t="s">
        <v>5</v>
      </c>
      <c r="D165" s="5">
        <v>1164.4792905483835</v>
      </c>
      <c r="E165" s="5">
        <v>1094.0154564253714</v>
      </c>
      <c r="F165" s="5">
        <v>1309.6541469543904</v>
      </c>
      <c r="G165" s="5">
        <v>1795.4466157005534</v>
      </c>
      <c r="H165" s="5">
        <v>2339.7082930865936</v>
      </c>
      <c r="I165" s="5">
        <v>2329.1809216891284</v>
      </c>
      <c r="J165" s="5">
        <v>2296.0592551300319</v>
      </c>
      <c r="K165" s="5">
        <v>2203.0524522546862</v>
      </c>
      <c r="L165" s="5">
        <v>2318.3033552805714</v>
      </c>
      <c r="M165" s="5">
        <v>2246.9072593996743</v>
      </c>
      <c r="N165" s="5">
        <v>2204.2640396342645</v>
      </c>
      <c r="O165" s="5">
        <v>2457.3372795047903</v>
      </c>
      <c r="P165" s="5">
        <v>2518.3321348427507</v>
      </c>
      <c r="Q165" s="5">
        <v>3082.6952742226699</v>
      </c>
      <c r="R165" s="5">
        <v>3092.6375702853288</v>
      </c>
      <c r="S165" s="5">
        <v>3205.1764549100121</v>
      </c>
      <c r="T165" s="5">
        <v>3401.3794236884241</v>
      </c>
      <c r="U165" s="5">
        <v>3347.5247056348085</v>
      </c>
      <c r="V165" s="5">
        <v>3344.9499222682534</v>
      </c>
      <c r="W165" s="5">
        <v>3569.6958618240214</v>
      </c>
      <c r="X165" s="5">
        <v>3514.6241714729408</v>
      </c>
      <c r="Y165" s="5">
        <v>3708.3583734630083</v>
      </c>
      <c r="Z165" s="5">
        <v>3771.9190064467821</v>
      </c>
      <c r="AA165" s="5">
        <v>3751.2471097860603</v>
      </c>
      <c r="AB165" s="5">
        <v>3567.7734564012167</v>
      </c>
      <c r="AC165" s="5">
        <v>3923.2741588770441</v>
      </c>
      <c r="AD165" s="5">
        <v>4295.8119242205221</v>
      </c>
      <c r="AE165" s="5">
        <v>4205.3301581680471</v>
      </c>
      <c r="AF165" s="5">
        <v>4226.1941141664274</v>
      </c>
      <c r="AG165" s="5">
        <v>4390.6655124842719</v>
      </c>
      <c r="AH165" s="5">
        <v>4418.1033359377279</v>
      </c>
      <c r="AI165" s="5">
        <v>4458.2196704182807</v>
      </c>
      <c r="AJ165" s="5">
        <v>4505.8803234901934</v>
      </c>
      <c r="AK165" s="5">
        <v>4636.4574436528874</v>
      </c>
      <c r="AL165" s="5">
        <v>4673.2516055137876</v>
      </c>
      <c r="AM165" s="5">
        <v>4560.0120979515013</v>
      </c>
      <c r="AN165" s="5">
        <v>4457.1639367860525</v>
      </c>
      <c r="AO165" s="5">
        <v>4293.7092680494225</v>
      </c>
      <c r="AP165" s="5">
        <v>4536.0983604318772</v>
      </c>
      <c r="AQ165" s="5">
        <v>4626.9000325534807</v>
      </c>
      <c r="AR165" s="5">
        <v>4512.6150206107759</v>
      </c>
      <c r="AS165" s="5">
        <v>4516.0712164248307</v>
      </c>
      <c r="AT165" s="5">
        <v>4597.7672195852201</v>
      </c>
      <c r="AU165" s="5">
        <v>4513.1267687489672</v>
      </c>
      <c r="AV165" s="5">
        <v>4525.2827526599112</v>
      </c>
      <c r="AW165" s="5">
        <v>4412.0477813565612</v>
      </c>
      <c r="AX165" s="5">
        <v>4365.0979075368723</v>
      </c>
      <c r="AY165" s="5">
        <v>4378.9419465423107</v>
      </c>
      <c r="AZ165" s="5">
        <v>4435.0910549507407</v>
      </c>
      <c r="BA165" s="5">
        <v>4484.0359467129992</v>
      </c>
      <c r="BB165" s="5">
        <v>4456.6567851743885</v>
      </c>
      <c r="BC165" s="5">
        <v>4311.0780109886118</v>
      </c>
      <c r="BD165" s="5">
        <v>4578.109952583668</v>
      </c>
      <c r="BE165" s="5">
        <v>4523.3373872107168</v>
      </c>
      <c r="BF165" s="5">
        <v>4390.9629523445819</v>
      </c>
      <c r="BG165" s="5">
        <v>4416.2396528766412</v>
      </c>
      <c r="BH165" s="5">
        <v>4207.7231747472488</v>
      </c>
      <c r="BI165" s="5">
        <v>4599.2676548076488</v>
      </c>
      <c r="BJ165" s="5">
        <v>4436.4211759366135</v>
      </c>
      <c r="BK165" s="5">
        <v>4606.7341049286133</v>
      </c>
      <c r="BL165" s="5">
        <v>4331.6767854134196</v>
      </c>
      <c r="BM165" s="5">
        <v>4611.8441053113547</v>
      </c>
      <c r="BN165" s="5">
        <v>4298.6104382251979</v>
      </c>
      <c r="BO165" s="5">
        <v>4432.9450673613001</v>
      </c>
      <c r="BP165" s="5">
        <v>4066.0153375949499</v>
      </c>
      <c r="BQ165" s="5">
        <v>3887.334965974278</v>
      </c>
      <c r="BR165" s="5">
        <v>3846.7272629282616</v>
      </c>
      <c r="BS165" s="5">
        <v>4101.1037770410539</v>
      </c>
      <c r="BT165" s="5">
        <v>4183.8229445542065</v>
      </c>
      <c r="BU165" s="5">
        <v>4786.1748528379239</v>
      </c>
      <c r="BV165" s="5">
        <v>4938.604565812725</v>
      </c>
      <c r="BW165" s="5">
        <v>5251.9755829417663</v>
      </c>
      <c r="BX165" s="5">
        <v>5349.85918143033</v>
      </c>
      <c r="BY165" s="5">
        <v>5801.1689463020293</v>
      </c>
      <c r="BZ165" s="5">
        <v>8132.6065552138207</v>
      </c>
      <c r="CA165" s="5">
        <v>9781.6488310131135</v>
      </c>
    </row>
    <row r="166" spans="1:79" x14ac:dyDescent="0.2">
      <c r="A166" t="s">
        <v>257</v>
      </c>
      <c r="C166" t="s">
        <v>258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s="7">
        <v>694.31794474511867</v>
      </c>
      <c r="N166" s="7">
        <v>816.15060005975818</v>
      </c>
      <c r="O166" s="7">
        <v>858.23814116567007</v>
      </c>
      <c r="P166" s="7">
        <v>991.68703429115828</v>
      </c>
      <c r="Q166" s="7">
        <v>1391.3670233998591</v>
      </c>
      <c r="R166" s="7">
        <v>1104.8855772843922</v>
      </c>
      <c r="S166" s="7">
        <v>1089.4482047843373</v>
      </c>
      <c r="T166" s="7">
        <v>1111.1523120683671</v>
      </c>
      <c r="U166" s="7">
        <v>1092.9741205148632</v>
      </c>
      <c r="V166" s="7">
        <v>1069.9305490145214</v>
      </c>
      <c r="W166" s="7">
        <v>1220.520490091933</v>
      </c>
      <c r="X166" s="7">
        <v>1116.4448034903301</v>
      </c>
      <c r="Y166" s="7">
        <v>1184.3435568178559</v>
      </c>
      <c r="Z166" s="7">
        <v>1287.3006185679972</v>
      </c>
      <c r="AA166" s="7">
        <v>1480.265983763207</v>
      </c>
      <c r="AB166" s="7">
        <v>1541.5973123679071</v>
      </c>
      <c r="AC166" s="7">
        <v>1454.9114011443999</v>
      </c>
      <c r="AD166" s="7">
        <v>1688.6059991936331</v>
      </c>
      <c r="AE166" s="7">
        <v>1493.3275789405818</v>
      </c>
      <c r="AF166" s="7">
        <v>1530.9703918071427</v>
      </c>
      <c r="AG166" s="7">
        <v>1592.6245904458726</v>
      </c>
      <c r="AH166" s="7">
        <v>1777.5141906489998</v>
      </c>
      <c r="AI166" s="7">
        <v>2073.3281691434859</v>
      </c>
      <c r="AJ166" s="7">
        <v>1938.884421011378</v>
      </c>
      <c r="AK166" s="7">
        <v>2111.7946871684462</v>
      </c>
      <c r="AL166" s="7">
        <v>2412.4759033409823</v>
      </c>
      <c r="AM166" s="7">
        <v>2218.6833775191149</v>
      </c>
      <c r="AN166" s="5">
        <v>2384.3619855268312</v>
      </c>
      <c r="AO166" s="5">
        <v>2544.000792354549</v>
      </c>
      <c r="AP166" s="5">
        <v>2533.2875951281189</v>
      </c>
      <c r="AQ166" s="5">
        <v>2673.5607656206357</v>
      </c>
      <c r="AR166" s="5">
        <v>2666.1661827750381</v>
      </c>
      <c r="AS166" s="5">
        <v>2713.8346689723712</v>
      </c>
      <c r="AT166" s="5">
        <v>2833.7018199005779</v>
      </c>
      <c r="AU166" s="5">
        <v>2885.4472785002577</v>
      </c>
      <c r="AV166" s="5">
        <v>2804.3881098839602</v>
      </c>
      <c r="AW166" s="5">
        <v>2758.1732557857868</v>
      </c>
      <c r="AX166" s="5">
        <v>2481.6803976268834</v>
      </c>
      <c r="AY166" s="5">
        <v>2747.6086250258181</v>
      </c>
      <c r="AZ166" s="5">
        <v>2955.1136290141581</v>
      </c>
      <c r="BA166" s="5">
        <v>3019.5870508693324</v>
      </c>
      <c r="BB166" s="5">
        <v>2630.7210228536301</v>
      </c>
      <c r="BC166" s="5">
        <v>2781.3229978066784</v>
      </c>
      <c r="BD166" s="7">
        <v>2650.3271730620918</v>
      </c>
      <c r="BE166" s="7">
        <v>2702.6150237053971</v>
      </c>
      <c r="BF166" s="7">
        <v>3431.4028980521898</v>
      </c>
      <c r="BG166" s="7">
        <v>3638.7786808698661</v>
      </c>
      <c r="BH166" s="7">
        <v>3743.489888974394</v>
      </c>
      <c r="BI166" s="7">
        <v>3811.0553328011338</v>
      </c>
      <c r="BJ166" s="5">
        <v>3590.5866564983612</v>
      </c>
      <c r="BK166" s="5">
        <v>3870.7629325872031</v>
      </c>
      <c r="BL166" s="5">
        <v>4063.4252220826988</v>
      </c>
      <c r="BM166" s="5">
        <v>3973.4510470856649</v>
      </c>
      <c r="BN166" s="5">
        <v>4037.0583414065882</v>
      </c>
      <c r="BO166" s="5">
        <v>4086.5687593587772</v>
      </c>
      <c r="BP166" s="5">
        <v>4112.3284132035033</v>
      </c>
      <c r="BQ166" s="5">
        <v>3901.1284248088828</v>
      </c>
      <c r="BR166" s="5">
        <v>3988.6392777294732</v>
      </c>
      <c r="BS166" s="5">
        <v>4004.2876657189445</v>
      </c>
      <c r="BT166" s="5">
        <v>3935.71006123709</v>
      </c>
      <c r="BU166" s="5">
        <v>4050.1176133577055</v>
      </c>
      <c r="BV166" s="5">
        <v>4092.2418326174379</v>
      </c>
      <c r="BW166" s="5">
        <v>4265.1156058983524</v>
      </c>
      <c r="BX166" s="5">
        <v>3984.1542156830455</v>
      </c>
      <c r="BY166" s="5">
        <v>4852.7728296236228</v>
      </c>
      <c r="BZ166" s="5">
        <v>5928.0210543601797</v>
      </c>
      <c r="CA166" s="5">
        <v>6893.946825837601</v>
      </c>
    </row>
    <row r="167" spans="1:79" x14ac:dyDescent="0.2">
      <c r="A167" t="s">
        <v>259</v>
      </c>
      <c r="C167" t="s">
        <v>260</v>
      </c>
      <c r="D167" s="5">
        <v>14723.161289837441</v>
      </c>
      <c r="E167" s="5">
        <v>15919.208625302534</v>
      </c>
      <c r="F167" s="5">
        <v>21321.818358801051</v>
      </c>
      <c r="G167" s="5">
        <v>27085.203144166859</v>
      </c>
      <c r="H167" s="5">
        <v>30166.76220247614</v>
      </c>
      <c r="I167" s="5">
        <v>25714.621121862117</v>
      </c>
      <c r="J167" s="5">
        <v>23963.08253823984</v>
      </c>
      <c r="K167" s="5">
        <v>30627.753059745002</v>
      </c>
      <c r="L167" s="5">
        <v>32785.499177634869</v>
      </c>
      <c r="M167" s="5">
        <v>30199.591187271079</v>
      </c>
      <c r="N167" s="5">
        <v>30882.54726947597</v>
      </c>
      <c r="O167" s="5">
        <v>31699.410596515969</v>
      </c>
      <c r="P167" s="5">
        <v>32944.146874748141</v>
      </c>
      <c r="Q167" s="5">
        <v>34047.046693462878</v>
      </c>
      <c r="R167" s="5">
        <v>33417.343957960613</v>
      </c>
      <c r="S167" s="5">
        <v>34399.576206012622</v>
      </c>
      <c r="T167" s="5">
        <v>34897.027362389461</v>
      </c>
      <c r="U167" s="5">
        <v>35948.421536310474</v>
      </c>
      <c r="V167" s="5">
        <v>37813.966497951027</v>
      </c>
      <c r="W167" s="5">
        <v>37858.756888736607</v>
      </c>
      <c r="X167" s="5">
        <v>36212.509510326221</v>
      </c>
      <c r="Y167" s="5">
        <v>36414.63666814068</v>
      </c>
      <c r="Z167" s="5">
        <v>36913.155525694441</v>
      </c>
      <c r="AA167" s="5">
        <v>37878.748296494712</v>
      </c>
      <c r="AB167" s="5">
        <v>39260.950572896363</v>
      </c>
      <c r="AC167" s="5">
        <v>39115.584367145122</v>
      </c>
      <c r="AD167" s="5">
        <v>40870.342195231678</v>
      </c>
      <c r="AE167" s="5">
        <v>42638.006883794478</v>
      </c>
      <c r="AF167" s="5">
        <v>44963.696662275433</v>
      </c>
      <c r="AG167" s="5">
        <v>47512.172935282557</v>
      </c>
      <c r="AH167" s="5">
        <v>48618.417378732833</v>
      </c>
      <c r="AI167" s="5">
        <v>49583.920969864746</v>
      </c>
      <c r="AJ167" s="5">
        <v>50817.623063673054</v>
      </c>
      <c r="AK167" s="5">
        <v>51788.815179478617</v>
      </c>
      <c r="AL167" s="5">
        <v>52749.507641895521</v>
      </c>
      <c r="AM167" s="5">
        <v>52436.339588232411</v>
      </c>
      <c r="AN167" s="5">
        <v>52374.661831231504</v>
      </c>
      <c r="AO167" s="5">
        <v>53913.231421479861</v>
      </c>
      <c r="AP167" s="5">
        <v>55492.156621316251</v>
      </c>
      <c r="AQ167" s="5">
        <v>55463.876507035304</v>
      </c>
      <c r="AR167" s="5">
        <v>56143.767547065458</v>
      </c>
      <c r="AS167" s="5">
        <v>55895.434161027435</v>
      </c>
      <c r="AT167" s="5">
        <v>56259.440084447815</v>
      </c>
      <c r="AU167" s="5">
        <v>54489.421581923314</v>
      </c>
      <c r="AV167" s="5">
        <v>53885.730372835387</v>
      </c>
      <c r="AW167" s="5">
        <v>54162.956049854016</v>
      </c>
      <c r="AX167" s="5">
        <v>51481.687368926796</v>
      </c>
      <c r="AY167" s="5">
        <v>50257.120197445816</v>
      </c>
      <c r="AZ167" s="5">
        <v>50438.693357862816</v>
      </c>
      <c r="BA167" s="5">
        <v>49098.043293441835</v>
      </c>
      <c r="BB167" s="5">
        <v>49511.06204104163</v>
      </c>
      <c r="BC167" s="5">
        <v>48951.032783859184</v>
      </c>
      <c r="BD167" s="5">
        <v>48800.123061836828</v>
      </c>
      <c r="BE167" s="5">
        <v>49802.771488002669</v>
      </c>
      <c r="BF167" s="5">
        <v>51305.062472586636</v>
      </c>
      <c r="BG167" s="5">
        <v>52705.749239169782</v>
      </c>
      <c r="BH167" s="5">
        <v>51625.417595922459</v>
      </c>
      <c r="BI167" s="5">
        <v>51863.291869188884</v>
      </c>
      <c r="BJ167" s="5">
        <v>51843.745409985604</v>
      </c>
      <c r="BK167" s="5">
        <v>51466.976676712336</v>
      </c>
      <c r="BL167" s="5">
        <v>55274.828427644687</v>
      </c>
      <c r="BM167" s="5">
        <v>52654.589888912422</v>
      </c>
      <c r="BN167" s="5">
        <v>51088.740541938692</v>
      </c>
      <c r="BO167" s="5">
        <v>50303.967271281814</v>
      </c>
      <c r="BP167" s="5">
        <v>49978.051092589958</v>
      </c>
      <c r="BQ167" s="5">
        <v>50847.821822239406</v>
      </c>
      <c r="BR167" s="5">
        <v>52238.825601687364</v>
      </c>
      <c r="BS167" s="5">
        <v>52354.377931085502</v>
      </c>
      <c r="BT167" s="5">
        <v>53226.317661247194</v>
      </c>
      <c r="BU167" s="5">
        <v>53529.596855558208</v>
      </c>
      <c r="BV167" s="5">
        <v>54872.765254861813</v>
      </c>
      <c r="BW167" s="5">
        <v>56796.263053483228</v>
      </c>
      <c r="BX167" s="5">
        <v>59214.478230346474</v>
      </c>
      <c r="BY167" s="5">
        <v>58904.307682147897</v>
      </c>
      <c r="BZ167" s="5">
        <v>59491.964166101265</v>
      </c>
      <c r="CA167" s="5">
        <v>63134.970336076913</v>
      </c>
    </row>
    <row r="168" spans="1:79" x14ac:dyDescent="0.2">
      <c r="A168" t="s">
        <v>261</v>
      </c>
      <c r="C168" t="s">
        <v>5</v>
      </c>
      <c r="D168" t="s">
        <v>6</v>
      </c>
      <c r="E168" t="s">
        <v>6</v>
      </c>
      <c r="F168" t="s">
        <v>6</v>
      </c>
      <c r="G168" t="s">
        <v>6</v>
      </c>
      <c r="H168" s="5">
        <v>19110.245655188774</v>
      </c>
      <c r="I168" s="5">
        <v>19348.10522272958</v>
      </c>
      <c r="J168" s="5">
        <v>22356.15369611662</v>
      </c>
      <c r="K168" s="5">
        <v>21291.522888305713</v>
      </c>
      <c r="L168" s="5">
        <v>25912.382563548726</v>
      </c>
      <c r="M168" s="5">
        <v>19411.027475506042</v>
      </c>
      <c r="N168" s="5">
        <v>31099.507974541659</v>
      </c>
      <c r="O168" s="5">
        <v>33484.710310206938</v>
      </c>
      <c r="P168" s="5">
        <v>35603.094487445313</v>
      </c>
      <c r="Q168" s="5">
        <v>45265.865582037288</v>
      </c>
      <c r="R168" s="5">
        <v>50817.249842813289</v>
      </c>
      <c r="S168" s="5">
        <v>48727.987420620164</v>
      </c>
      <c r="T168" s="5">
        <v>48075.809016178151</v>
      </c>
      <c r="U168" s="5">
        <v>47187.462988545391</v>
      </c>
      <c r="V168" s="5">
        <v>49087.05102025401</v>
      </c>
      <c r="W168" s="5">
        <v>43567.337342127561</v>
      </c>
      <c r="X168" s="5">
        <v>47786.605401690518</v>
      </c>
      <c r="Y168" s="5">
        <v>48330.471210804688</v>
      </c>
      <c r="Z168" s="5">
        <v>51779.193532348392</v>
      </c>
      <c r="AA168" s="5">
        <v>55388.628013323825</v>
      </c>
      <c r="AB168" s="5">
        <v>57514.000523547198</v>
      </c>
      <c r="AC168" s="5">
        <v>60064.842587009982</v>
      </c>
      <c r="AD168" s="5">
        <v>59792.644433205111</v>
      </c>
      <c r="AE168" s="5">
        <v>59360.773872032754</v>
      </c>
      <c r="AF168" s="5">
        <v>59106.163302534878</v>
      </c>
      <c r="AG168" s="5">
        <v>61619.349954835219</v>
      </c>
      <c r="AH168" s="5">
        <v>62479.547953762689</v>
      </c>
      <c r="AI168" s="5">
        <v>63317.792032787853</v>
      </c>
      <c r="AJ168" s="5">
        <v>64061.793736343483</v>
      </c>
      <c r="AK168" s="5">
        <v>63235.114819879171</v>
      </c>
      <c r="AL168" s="5">
        <v>63784.072428683721</v>
      </c>
      <c r="AM168" s="5">
        <v>63142.526953779343</v>
      </c>
      <c r="AN168" s="5">
        <v>63277.381445194507</v>
      </c>
      <c r="AO168" s="5">
        <v>64955.995995060548</v>
      </c>
      <c r="AP168" s="5">
        <v>66118.607533449831</v>
      </c>
      <c r="AQ168" s="5">
        <v>65588.868237688934</v>
      </c>
      <c r="AR168" s="5">
        <v>65409.494294033029</v>
      </c>
      <c r="AS168" s="5">
        <v>68933.087458619208</v>
      </c>
      <c r="AT168" s="5">
        <v>63793.746828087278</v>
      </c>
      <c r="AU168" s="5">
        <v>60671.401685663288</v>
      </c>
      <c r="AV168" s="5">
        <v>54542.407858418723</v>
      </c>
      <c r="AW168" s="5">
        <v>50866.494495741281</v>
      </c>
      <c r="AX168" s="5">
        <v>50029.444589736704</v>
      </c>
      <c r="AY168" s="5">
        <v>49051.259378434261</v>
      </c>
      <c r="AZ168" s="5">
        <v>47240.659666169529</v>
      </c>
      <c r="BA168" s="5">
        <v>47403.823647993755</v>
      </c>
      <c r="BB168" s="5">
        <v>48362.141135202859</v>
      </c>
      <c r="BC168" s="5">
        <v>47599.150564419368</v>
      </c>
      <c r="BD168" s="5">
        <v>46816.811575143882</v>
      </c>
      <c r="BE168" s="5">
        <v>46944.159853052304</v>
      </c>
      <c r="BF168" s="5">
        <v>46302.622011728141</v>
      </c>
      <c r="BG168" s="5">
        <v>44884.133957734375</v>
      </c>
      <c r="BH168" s="5">
        <v>44185.953294851912</v>
      </c>
      <c r="BI168" s="5">
        <v>43399.652412024661</v>
      </c>
      <c r="BJ168" s="5">
        <v>43466.033837520554</v>
      </c>
      <c r="BK168" s="5">
        <v>44493.729463186697</v>
      </c>
      <c r="BL168" s="5">
        <v>46178.75868670387</v>
      </c>
      <c r="BM168" s="5">
        <v>46291.116746071013</v>
      </c>
      <c r="BN168" s="5">
        <v>45352.651148998564</v>
      </c>
      <c r="BO168" s="5">
        <v>46648.58398155051</v>
      </c>
      <c r="BP168" s="5">
        <v>44924.142178776594</v>
      </c>
      <c r="BQ168" s="5">
        <v>44977.370684065136</v>
      </c>
      <c r="BR168" s="5">
        <v>45749.640026431443</v>
      </c>
      <c r="BS168" s="5">
        <v>47734.961908609977</v>
      </c>
      <c r="BT168" s="5">
        <v>49104.116375302947</v>
      </c>
      <c r="BU168" s="5">
        <v>50459.206634235161</v>
      </c>
      <c r="BV168" s="5">
        <v>55350.650530960505</v>
      </c>
      <c r="BW168" s="5">
        <v>58975.734223275009</v>
      </c>
      <c r="BX168" s="5">
        <v>58457.698602404133</v>
      </c>
      <c r="BY168" s="5">
        <v>61110.135064451206</v>
      </c>
      <c r="BZ168" s="5">
        <v>67285.198637862413</v>
      </c>
      <c r="CA168" s="5">
        <v>86301.287019696421</v>
      </c>
    </row>
    <row r="169" spans="1:79" x14ac:dyDescent="0.2">
      <c r="A169" t="s">
        <v>262</v>
      </c>
      <c r="C169" t="s">
        <v>5</v>
      </c>
      <c r="D169" s="5">
        <v>858.53610802011701</v>
      </c>
      <c r="E169" s="5">
        <v>962.37595704527246</v>
      </c>
      <c r="F169" s="5">
        <v>1134.1907222240377</v>
      </c>
      <c r="G169" s="5">
        <v>1095.3696228800259</v>
      </c>
      <c r="H169" s="5">
        <v>1047.2659112227327</v>
      </c>
      <c r="I169" s="5">
        <v>1127.7478465274141</v>
      </c>
      <c r="J169" s="5">
        <v>1147.0813879191464</v>
      </c>
      <c r="K169" s="5">
        <v>1481.4121978312817</v>
      </c>
      <c r="L169" s="5">
        <v>1543.3924692414744</v>
      </c>
      <c r="M169" s="5">
        <v>1519.8744240785541</v>
      </c>
      <c r="N169" s="5">
        <v>1573.6173721598661</v>
      </c>
      <c r="O169" s="5">
        <v>1671.615943283444</v>
      </c>
      <c r="P169" s="5">
        <v>1617.0360530782111</v>
      </c>
      <c r="Q169" s="5">
        <v>1644.3306630645579</v>
      </c>
      <c r="R169" s="5">
        <v>1685.877035265009</v>
      </c>
      <c r="S169" s="5">
        <v>1752.2581673473214</v>
      </c>
      <c r="T169" s="5">
        <v>1895.4208447622052</v>
      </c>
      <c r="U169" s="5">
        <v>2057.3271271983285</v>
      </c>
      <c r="V169" s="5">
        <v>2649.0391157592521</v>
      </c>
      <c r="W169" s="5">
        <v>3093.5584416052034</v>
      </c>
      <c r="X169" s="5">
        <v>3501.7764678521376</v>
      </c>
      <c r="Y169" s="5">
        <v>3777.8946131915586</v>
      </c>
      <c r="Z169" s="5">
        <v>3993.3252258916195</v>
      </c>
      <c r="AA169" s="5">
        <v>4257.1636501670491</v>
      </c>
      <c r="AB169" s="5">
        <v>4280.8844442552709</v>
      </c>
      <c r="AC169" s="5">
        <v>5316.61412647828</v>
      </c>
      <c r="AD169" s="5">
        <v>6839.2872014957402</v>
      </c>
      <c r="AE169" s="5">
        <v>7484.6281150137183</v>
      </c>
      <c r="AF169" s="5">
        <v>7934.6801042809702</v>
      </c>
      <c r="AG169" s="5">
        <v>8104.7817773758834</v>
      </c>
      <c r="AH169" s="5">
        <v>7851.2464869644073</v>
      </c>
      <c r="AI169" s="5">
        <v>6790.5002376022121</v>
      </c>
      <c r="AJ169" s="5">
        <v>8037.668941267224</v>
      </c>
      <c r="AK169" s="5">
        <v>8201.4242497061077</v>
      </c>
      <c r="AL169" s="5">
        <v>7481.3415348688677</v>
      </c>
      <c r="AM169" s="7">
        <v>7343.4539397371382</v>
      </c>
      <c r="AN169" s="7">
        <v>7288.3156280942894</v>
      </c>
      <c r="AO169" s="7">
        <v>6227.8321287257922</v>
      </c>
      <c r="AP169" s="7">
        <v>6214.1439508829244</v>
      </c>
      <c r="AQ169" s="7">
        <v>6570.8851505636376</v>
      </c>
      <c r="AR169" s="7">
        <v>6161.0152727667182</v>
      </c>
      <c r="AS169" s="7">
        <v>6228.9263712498323</v>
      </c>
      <c r="AT169" s="7">
        <v>5907.6748688086082</v>
      </c>
      <c r="AU169" s="7">
        <v>6139.3777733668176</v>
      </c>
      <c r="AV169" s="7">
        <v>5992.5053457923959</v>
      </c>
      <c r="AW169" s="7">
        <v>6095.7390105607719</v>
      </c>
      <c r="AX169" s="7">
        <v>6226.1144363169315</v>
      </c>
      <c r="AY169" s="7">
        <v>6599.0995689894007</v>
      </c>
      <c r="AZ169" s="7">
        <v>7032.2274096791389</v>
      </c>
      <c r="BA169" s="7">
        <v>7662.9705931600256</v>
      </c>
      <c r="BB169" s="7">
        <v>8022.6807990402203</v>
      </c>
      <c r="BC169" s="7">
        <v>8467.469057373557</v>
      </c>
      <c r="BD169" s="7">
        <v>8281.0186581939361</v>
      </c>
      <c r="BE169" s="5">
        <v>8123.172066084132</v>
      </c>
      <c r="BF169" s="5">
        <v>6959.2620431582563</v>
      </c>
      <c r="BG169" s="5">
        <v>7651.3354514053099</v>
      </c>
      <c r="BH169" s="5">
        <v>8273.7420055461116</v>
      </c>
      <c r="BI169" s="5">
        <v>8602.3959061197802</v>
      </c>
      <c r="BJ169" s="5">
        <v>8595.5672721347601</v>
      </c>
      <c r="BK169" s="5">
        <v>9555.5129239289454</v>
      </c>
      <c r="BL169" s="5">
        <v>10018.569452200887</v>
      </c>
      <c r="BM169" s="5">
        <v>7698.8578575414858</v>
      </c>
      <c r="BN169" s="5">
        <v>6198.590139400254</v>
      </c>
      <c r="BO169" s="5">
        <v>5482.3897928053375</v>
      </c>
      <c r="BP169" s="5">
        <v>5119.4726988385264</v>
      </c>
      <c r="BQ169" s="5">
        <v>5077.7464158411622</v>
      </c>
      <c r="BR169" s="5">
        <v>5384.8494277796071</v>
      </c>
      <c r="BS169" s="5">
        <v>5609.2735311344413</v>
      </c>
      <c r="BT169" s="5">
        <v>5604.7943607905263</v>
      </c>
      <c r="BU169" s="5">
        <v>5990.8655751784218</v>
      </c>
      <c r="BV169" s="5">
        <v>5890.7217195180474</v>
      </c>
      <c r="BW169" s="5">
        <v>6283.6340680711701</v>
      </c>
      <c r="BX169" s="5">
        <v>8601.9196707296633</v>
      </c>
      <c r="BY169" s="5">
        <v>9294.4658429065075</v>
      </c>
      <c r="BZ169" s="5">
        <v>7014.8789331074631</v>
      </c>
      <c r="CA169" s="5">
        <v>7785.6310377756417</v>
      </c>
    </row>
    <row r="170" spans="1:79" x14ac:dyDescent="0.2">
      <c r="A170" t="s">
        <v>263</v>
      </c>
      <c r="C170" t="s">
        <v>264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  <c r="AI170" t="s">
        <v>6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</row>
    <row r="171" spans="1:79" x14ac:dyDescent="0.2">
      <c r="A171" t="s">
        <v>265</v>
      </c>
      <c r="C171" t="s">
        <v>5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  <c r="K171" t="s">
        <v>6</v>
      </c>
      <c r="L171" t="s">
        <v>6</v>
      </c>
      <c r="M171" s="5">
        <v>278.57754618244792</v>
      </c>
      <c r="N171" s="5">
        <v>291.90661537778038</v>
      </c>
      <c r="O171" s="5">
        <v>310.50019328757173</v>
      </c>
      <c r="P171" s="5">
        <v>322.83086460081586</v>
      </c>
      <c r="Q171" s="5">
        <v>327.58739540712122</v>
      </c>
      <c r="R171" s="5">
        <v>331.22638148018945</v>
      </c>
      <c r="S171" s="5">
        <v>370.41396764051501</v>
      </c>
      <c r="T171" s="5">
        <v>382.48581428795796</v>
      </c>
      <c r="U171" s="5">
        <v>363.82105073181077</v>
      </c>
      <c r="V171" s="5">
        <v>370.35347166644306</v>
      </c>
      <c r="W171" s="5">
        <v>380.93485895938727</v>
      </c>
      <c r="X171" s="5">
        <v>397.48484951976991</v>
      </c>
      <c r="Y171" s="5">
        <v>449.89411434045797</v>
      </c>
      <c r="Z171" s="5">
        <v>507.02850042954276</v>
      </c>
      <c r="AA171" s="5">
        <v>602.15166470939232</v>
      </c>
      <c r="AB171" s="5">
        <v>644.50027507413483</v>
      </c>
      <c r="AC171" s="5">
        <v>653.16094452706159</v>
      </c>
      <c r="AD171" s="5">
        <v>792.64244096672564</v>
      </c>
      <c r="AE171" s="5">
        <v>818.91418359871295</v>
      </c>
      <c r="AF171" s="5">
        <v>834.07913137157902</v>
      </c>
      <c r="AG171" s="5">
        <v>892.70343789709648</v>
      </c>
      <c r="AH171" s="5">
        <v>985.41739461339989</v>
      </c>
      <c r="AI171" s="5">
        <v>1037.2714970085128</v>
      </c>
      <c r="AJ171" s="5">
        <v>992.75529627778053</v>
      </c>
      <c r="AK171" s="5">
        <v>1005.3667286952287</v>
      </c>
      <c r="AL171" s="5">
        <v>942.58353395145343</v>
      </c>
      <c r="AM171" s="5">
        <v>911.88733289990068</v>
      </c>
      <c r="AN171" s="5">
        <v>940.13160031298628</v>
      </c>
      <c r="AO171" s="5">
        <v>965.62207004563561</v>
      </c>
      <c r="AP171" s="5">
        <v>902.46023743124874</v>
      </c>
      <c r="AQ171" s="5">
        <v>897.62868643855086</v>
      </c>
      <c r="AR171" s="5">
        <v>887.17581967795707</v>
      </c>
      <c r="AS171" s="5">
        <v>1007.0091109358254</v>
      </c>
      <c r="AT171" s="5">
        <v>1055.0116494672798</v>
      </c>
      <c r="AU171" s="5">
        <v>1043.8456676080468</v>
      </c>
      <c r="AV171" s="5">
        <v>1051.8547155778117</v>
      </c>
      <c r="AW171" s="7">
        <v>1075.7352786780912</v>
      </c>
      <c r="AX171" s="7">
        <v>1084.457996156222</v>
      </c>
      <c r="AY171" s="7">
        <v>1142.4186030016028</v>
      </c>
      <c r="AZ171" s="7">
        <v>1210.0189445860619</v>
      </c>
      <c r="BA171" s="7">
        <v>1220.2802947465136</v>
      </c>
      <c r="BB171" s="7">
        <v>1262.3779782277536</v>
      </c>
      <c r="BC171" s="7">
        <v>1295.3275311388823</v>
      </c>
      <c r="BD171" s="5">
        <v>1405.7739594902332</v>
      </c>
      <c r="BE171" s="5">
        <v>1349.8536866923396</v>
      </c>
      <c r="BF171" s="5">
        <v>1294.0153382516173</v>
      </c>
      <c r="BG171" s="5">
        <v>1314.1091453193233</v>
      </c>
      <c r="BH171" s="5">
        <v>1330.7315133378481</v>
      </c>
      <c r="BI171" s="5">
        <v>1319.5557524584856</v>
      </c>
      <c r="BJ171" s="5">
        <v>1329.2863007148146</v>
      </c>
      <c r="BK171" s="5">
        <v>1377.1252679997317</v>
      </c>
      <c r="BL171" s="5">
        <v>1359.2002448876704</v>
      </c>
      <c r="BM171" s="5">
        <v>1295.0716494872872</v>
      </c>
      <c r="BN171" s="5">
        <v>1227.8338702726137</v>
      </c>
      <c r="BO171" s="5">
        <v>1162.8409987097216</v>
      </c>
      <c r="BP171" s="5">
        <v>1156.4966639112292</v>
      </c>
      <c r="BQ171" s="5">
        <v>1152.2422202402602</v>
      </c>
      <c r="BR171" s="5">
        <v>1156.0683415189769</v>
      </c>
      <c r="BS171" s="5">
        <v>1164.4498583412276</v>
      </c>
      <c r="BT171" s="5">
        <v>1170.3680555061962</v>
      </c>
      <c r="BU171" s="5">
        <v>1195.9910152121347</v>
      </c>
      <c r="BV171" s="5">
        <v>1255.4914215832384</v>
      </c>
      <c r="BW171" s="5">
        <v>1272.4000715158113</v>
      </c>
      <c r="BX171" s="5">
        <v>1327.5102929647051</v>
      </c>
      <c r="BY171" s="5">
        <v>1271.3154149693503</v>
      </c>
      <c r="BZ171" s="5">
        <v>1269.225284246827</v>
      </c>
      <c r="CA171" s="5">
        <v>1307.2025442928241</v>
      </c>
    </row>
    <row r="172" spans="1:79" x14ac:dyDescent="0.2">
      <c r="A172" t="s">
        <v>266</v>
      </c>
      <c r="C172" t="s">
        <v>267</v>
      </c>
      <c r="D172" s="5">
        <v>6269.5948887211234</v>
      </c>
      <c r="E172" s="5">
        <v>7401.3524338926809</v>
      </c>
      <c r="F172" s="5">
        <v>8384.5693907930727</v>
      </c>
      <c r="G172" s="5">
        <v>9384.1742533603774</v>
      </c>
      <c r="H172" s="5">
        <v>8524.796780801229</v>
      </c>
      <c r="I172" s="5">
        <v>9350.2056234843003</v>
      </c>
      <c r="J172" s="5">
        <v>9211.1428184080778</v>
      </c>
      <c r="K172" s="5">
        <v>9482.447724785181</v>
      </c>
      <c r="L172" s="5">
        <v>9782.87284468488</v>
      </c>
      <c r="M172" s="5">
        <v>10072.586703189068</v>
      </c>
      <c r="N172" s="5">
        <v>10385.527289777221</v>
      </c>
      <c r="O172" s="5">
        <v>10906.023132014454</v>
      </c>
      <c r="P172" s="5">
        <v>11201.095294614795</v>
      </c>
      <c r="Q172" s="5">
        <v>12388.740554395568</v>
      </c>
      <c r="R172" s="5">
        <v>13787.585525797049</v>
      </c>
      <c r="S172" s="5">
        <v>14119.577266489865</v>
      </c>
      <c r="T172" s="5">
        <v>14654.282570267791</v>
      </c>
      <c r="U172" s="5">
        <v>15725.765619912132</v>
      </c>
      <c r="V172" s="5">
        <v>15447.65215848435</v>
      </c>
      <c r="W172" s="5">
        <v>15634.560989033713</v>
      </c>
      <c r="X172" s="5">
        <v>15431.232069352469</v>
      </c>
      <c r="Y172" s="5">
        <v>16288.187597947057</v>
      </c>
      <c r="Z172" s="5">
        <v>18305.206759775734</v>
      </c>
      <c r="AA172" s="5">
        <v>20316.791328404797</v>
      </c>
      <c r="AB172" s="5">
        <v>20283.749140349701</v>
      </c>
      <c r="AC172" s="5">
        <v>20261.477573936099</v>
      </c>
      <c r="AD172" s="5">
        <v>18865.918988028519</v>
      </c>
      <c r="AE172" s="5">
        <v>18807.996997859544</v>
      </c>
      <c r="AF172" s="5">
        <v>20125.624429256335</v>
      </c>
      <c r="AG172" s="5">
        <v>20996.135382289758</v>
      </c>
      <c r="AH172" s="5">
        <v>22342.787644511827</v>
      </c>
      <c r="AI172" s="5">
        <v>21772.818347991149</v>
      </c>
      <c r="AJ172" s="5">
        <v>22897.111651092971</v>
      </c>
      <c r="AK172" s="5">
        <v>25546.186840393457</v>
      </c>
      <c r="AL172" s="5">
        <v>26104.58154604935</v>
      </c>
      <c r="AM172" s="5">
        <v>26875.213982749196</v>
      </c>
      <c r="AN172" s="5">
        <v>26606.884265282333</v>
      </c>
      <c r="AO172" s="5">
        <v>28410.243449055954</v>
      </c>
      <c r="AP172" s="5">
        <v>30912.17931215823</v>
      </c>
      <c r="AQ172" s="5">
        <v>32837.756512849024</v>
      </c>
      <c r="AR172" s="5">
        <v>33096.915065646957</v>
      </c>
      <c r="AS172" s="5">
        <v>31833.739832053139</v>
      </c>
      <c r="AT172" s="5">
        <v>32282.509091422173</v>
      </c>
      <c r="AU172" s="5">
        <v>31354.696946419113</v>
      </c>
      <c r="AV172" s="5">
        <v>31521.90088607651</v>
      </c>
      <c r="AW172" s="5">
        <v>30742.598039169636</v>
      </c>
      <c r="AX172" s="5">
        <v>28077.261766272379</v>
      </c>
      <c r="AY172" s="5">
        <v>30937.759589155987</v>
      </c>
      <c r="AZ172" s="5">
        <v>32439.934275501146</v>
      </c>
      <c r="BA172" s="5">
        <v>33513.078082429616</v>
      </c>
      <c r="BB172" s="5">
        <v>34824.012230361652</v>
      </c>
      <c r="BC172" s="5">
        <v>37146.765734805616</v>
      </c>
      <c r="BD172" s="5">
        <v>36536.739063602166</v>
      </c>
      <c r="BE172" s="5">
        <v>37535.373602428954</v>
      </c>
      <c r="BF172" s="5">
        <v>37840.634403404314</v>
      </c>
      <c r="BG172" s="5">
        <v>37964.582941606495</v>
      </c>
      <c r="BH172" s="5">
        <v>36525.095190266293</v>
      </c>
      <c r="BI172" s="5">
        <v>35341.766931151724</v>
      </c>
      <c r="BJ172" s="7">
        <v>34333.356465135294</v>
      </c>
      <c r="BK172" s="7">
        <v>35754.82452872557</v>
      </c>
      <c r="BL172" s="7">
        <v>34582.899263747255</v>
      </c>
      <c r="BM172" s="5">
        <v>33595.369560927407</v>
      </c>
      <c r="BN172" s="5">
        <v>32899.763360879922</v>
      </c>
      <c r="BO172" s="5">
        <v>30411.254371500221</v>
      </c>
      <c r="BP172" s="5">
        <v>29246.668617578704</v>
      </c>
      <c r="BQ172" s="5">
        <v>26999.240333291084</v>
      </c>
      <c r="BR172" s="5">
        <v>25853.00799870511</v>
      </c>
      <c r="BS172" s="5">
        <v>29287.232947303866</v>
      </c>
      <c r="BT172" s="5">
        <v>30128.775533644883</v>
      </c>
      <c r="BU172" s="5">
        <v>30429.849382747365</v>
      </c>
      <c r="BV172" s="5">
        <v>29597.904806940631</v>
      </c>
      <c r="BW172" s="5">
        <v>36337.307585451606</v>
      </c>
      <c r="BX172" s="5">
        <v>37829.303189130951</v>
      </c>
      <c r="BY172" s="5">
        <v>37638.822112159549</v>
      </c>
      <c r="BZ172" s="5">
        <v>36933.180928345166</v>
      </c>
      <c r="CA172" s="5">
        <v>37444.044956661644</v>
      </c>
    </row>
    <row r="173" spans="1:79" x14ac:dyDescent="0.2">
      <c r="A173" t="s">
        <v>268</v>
      </c>
      <c r="C173" t="s">
        <v>269</v>
      </c>
      <c r="D173" s="7">
        <v>25.553227438386589</v>
      </c>
      <c r="E173" s="7">
        <v>37.339511279805421</v>
      </c>
      <c r="F173" s="7">
        <v>53.578000048646203</v>
      </c>
      <c r="G173" s="7">
        <v>87.007309457842084</v>
      </c>
      <c r="H173" s="7">
        <v>97.591591300156182</v>
      </c>
      <c r="I173" s="7">
        <v>111.8933666683413</v>
      </c>
      <c r="J173" s="7">
        <v>121.71980623506614</v>
      </c>
      <c r="K173" s="7">
        <v>77.861869102023633</v>
      </c>
      <c r="L173" s="7">
        <v>82.692800610245499</v>
      </c>
      <c r="M173" s="7">
        <v>80.269751119896966</v>
      </c>
      <c r="N173" s="7">
        <v>74.995661948652085</v>
      </c>
      <c r="O173" s="7">
        <v>48.824791715249816</v>
      </c>
      <c r="P173" s="7">
        <v>53.583641803528018</v>
      </c>
      <c r="Q173" s="7">
        <v>65.001254687946229</v>
      </c>
      <c r="R173" s="7">
        <v>61.961804425121592</v>
      </c>
      <c r="S173" s="7">
        <v>79.940155121586358</v>
      </c>
      <c r="T173" s="7">
        <v>79.384410458770191</v>
      </c>
      <c r="U173" s="7">
        <v>80.093095543890712</v>
      </c>
      <c r="V173" s="7">
        <v>64.999837394237176</v>
      </c>
      <c r="W173" s="7">
        <v>57.562252989941186</v>
      </c>
      <c r="X173" s="7">
        <v>58.820644715708021</v>
      </c>
      <c r="Y173" s="7">
        <v>59.751878045113195</v>
      </c>
      <c r="Z173" s="7">
        <v>60.747535289867571</v>
      </c>
      <c r="AA173" s="7">
        <v>67.416752543523401</v>
      </c>
      <c r="AB173" s="7">
        <v>73.941695368312139</v>
      </c>
      <c r="AC173" s="7">
        <v>79.803636967615162</v>
      </c>
      <c r="AD173" s="7">
        <v>84.752104456712672</v>
      </c>
      <c r="AE173" s="7">
        <v>90.986759576464621</v>
      </c>
      <c r="AF173" s="7">
        <v>89.148220808076161</v>
      </c>
      <c r="AG173" s="7">
        <v>96.972991414367513</v>
      </c>
      <c r="AH173" s="7">
        <v>99.831144130615471</v>
      </c>
      <c r="AI173" s="7">
        <v>115.90629915033236</v>
      </c>
      <c r="AJ173" s="7">
        <v>119.97674731097806</v>
      </c>
      <c r="AK173" s="7">
        <v>121.11839591917462</v>
      </c>
      <c r="AL173" s="7">
        <v>123.87683157816296</v>
      </c>
      <c r="AM173" s="7">
        <v>124.5059647240117</v>
      </c>
      <c r="AN173" s="7">
        <v>121.16468780906115</v>
      </c>
      <c r="AO173" s="7">
        <v>127.48451915868637</v>
      </c>
      <c r="AP173" s="7">
        <v>145.98461092114476</v>
      </c>
      <c r="AQ173" s="7">
        <v>166.53409696406035</v>
      </c>
      <c r="AR173" s="7">
        <v>152.47284469607436</v>
      </c>
      <c r="AS173" s="7">
        <v>158.72091431316491</v>
      </c>
      <c r="AT173" s="7">
        <v>175.25104255728021</v>
      </c>
      <c r="AU173" s="7">
        <v>182.93240164270296</v>
      </c>
      <c r="AV173" s="7">
        <v>166.72151944858564</v>
      </c>
      <c r="AW173" s="7">
        <v>183.8894891835314</v>
      </c>
      <c r="AX173" s="7">
        <v>179.50126958108342</v>
      </c>
      <c r="AY173" s="7">
        <v>185.31895276996684</v>
      </c>
      <c r="AZ173" s="7">
        <v>200.15805719439109</v>
      </c>
      <c r="BA173" s="7">
        <v>214.76519189735612</v>
      </c>
      <c r="BB173" s="7">
        <v>217.86740349047997</v>
      </c>
      <c r="BC173" s="7">
        <v>222.41325434042932</v>
      </c>
      <c r="BD173" s="7">
        <v>278.98539666078904</v>
      </c>
      <c r="BE173" s="7">
        <v>248.88604357758973</v>
      </c>
      <c r="BF173" s="7">
        <v>263.33784543829898</v>
      </c>
      <c r="BG173" s="7">
        <v>276.63199560656506</v>
      </c>
      <c r="BH173" s="7">
        <v>279.91420867675606</v>
      </c>
      <c r="BI173" s="7">
        <v>274.0356878914979</v>
      </c>
      <c r="BJ173" s="7">
        <v>284.15719945606781</v>
      </c>
      <c r="BK173" s="5">
        <v>212.48740961140135</v>
      </c>
      <c r="BL173" s="5">
        <v>210.25817799586403</v>
      </c>
      <c r="BM173" s="5">
        <v>265.13228930245231</v>
      </c>
      <c r="BN173" s="5">
        <v>228.9665699087619</v>
      </c>
      <c r="BO173" s="5">
        <v>223.02769552982775</v>
      </c>
      <c r="BP173" s="5">
        <v>231.04081290589031</v>
      </c>
      <c r="BQ173" s="5">
        <v>247.86114307996624</v>
      </c>
      <c r="BR173" s="5">
        <v>292.13289376450405</v>
      </c>
      <c r="BS173" s="5">
        <v>275.75049839755587</v>
      </c>
      <c r="BT173" s="5">
        <v>366.50232359373297</v>
      </c>
      <c r="BU173" s="5">
        <v>377.28025238593074</v>
      </c>
      <c r="BV173" s="5">
        <v>420.09358434915589</v>
      </c>
      <c r="BW173" s="5">
        <v>455.77866574294154</v>
      </c>
      <c r="BX173" s="5">
        <v>406.4074200264493</v>
      </c>
      <c r="BY173" s="5">
        <v>543.37219270156572</v>
      </c>
      <c r="BZ173" s="5">
        <v>662.49246634574513</v>
      </c>
      <c r="CA173" s="5">
        <v>849.40516074456616</v>
      </c>
    </row>
    <row r="174" spans="1:79" x14ac:dyDescent="0.2">
      <c r="A174" t="s">
        <v>270</v>
      </c>
      <c r="C174" t="s">
        <v>271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  <c r="AI174" t="s">
        <v>6</v>
      </c>
      <c r="AJ174" t="s">
        <v>6</v>
      </c>
      <c r="AK174" t="s">
        <v>6</v>
      </c>
      <c r="AL174" t="s">
        <v>6</v>
      </c>
      <c r="AM174" t="s">
        <v>6</v>
      </c>
      <c r="AN174" s="5">
        <v>35.805089679357103</v>
      </c>
      <c r="AO174" s="5">
        <v>37.531232085555722</v>
      </c>
      <c r="AP174" s="5">
        <v>46.002424347604716</v>
      </c>
      <c r="AQ174" s="5">
        <v>42.20132363133736</v>
      </c>
      <c r="AR174" s="5">
        <v>41.960593069062661</v>
      </c>
      <c r="AS174" s="5">
        <v>36.882029409021996</v>
      </c>
      <c r="AT174" s="5">
        <v>37.610073519812346</v>
      </c>
      <c r="AU174" s="5">
        <v>44.819084708747631</v>
      </c>
      <c r="AV174" s="5">
        <v>47.6144991508001</v>
      </c>
      <c r="AW174" s="5">
        <v>51.134394441121394</v>
      </c>
      <c r="AX174" s="5">
        <v>51.120269260239027</v>
      </c>
      <c r="AY174" s="5">
        <v>54.673422660347015</v>
      </c>
      <c r="AZ174" s="5">
        <v>53.102953637413904</v>
      </c>
      <c r="BA174" s="5">
        <v>48.746353166860132</v>
      </c>
      <c r="BB174" s="5">
        <v>47.165235133465146</v>
      </c>
      <c r="BC174" s="5">
        <v>45.846701524799556</v>
      </c>
      <c r="BD174" s="5">
        <v>48.936307687531382</v>
      </c>
      <c r="BE174" s="5">
        <v>48.326228479305961</v>
      </c>
      <c r="BF174" s="5">
        <v>49.860826810628382</v>
      </c>
      <c r="BG174" s="5">
        <v>52.631966514731431</v>
      </c>
      <c r="BH174" s="5">
        <v>66.40377144832199</v>
      </c>
      <c r="BI174" s="5">
        <v>53.91401589406496</v>
      </c>
      <c r="BJ174" s="5">
        <v>53.975619402444096</v>
      </c>
      <c r="BK174" s="5">
        <v>55.369350659809754</v>
      </c>
      <c r="BL174" s="5">
        <v>60.333118779985682</v>
      </c>
      <c r="BM174" s="5">
        <v>61.936740580651659</v>
      </c>
      <c r="BN174" s="5">
        <v>54.543602540553884</v>
      </c>
      <c r="BO174" s="5">
        <v>51.484972998365322</v>
      </c>
      <c r="BP174" s="5">
        <v>53.055760224545494</v>
      </c>
      <c r="BQ174" s="5">
        <v>55.613767182277073</v>
      </c>
      <c r="BR174" s="5">
        <v>60.313310409704414</v>
      </c>
      <c r="BS174" s="5">
        <v>69.235741002846453</v>
      </c>
      <c r="BT174" s="5">
        <v>72.471177273374735</v>
      </c>
      <c r="BU174" s="5">
        <v>70.894004378551244</v>
      </c>
      <c r="BV174" s="5">
        <v>88.266960751441857</v>
      </c>
      <c r="BW174" s="5">
        <v>92.606364323317365</v>
      </c>
      <c r="BX174" s="5">
        <v>89.637875059010966</v>
      </c>
      <c r="BY174" s="5">
        <v>85.301053118673735</v>
      </c>
      <c r="BZ174" s="5">
        <v>112.63672153534341</v>
      </c>
      <c r="CA174" s="5">
        <v>106.28245199591562</v>
      </c>
    </row>
    <row r="175" spans="1:79" x14ac:dyDescent="0.2">
      <c r="A175" t="s">
        <v>272</v>
      </c>
      <c r="C175" t="s">
        <v>5</v>
      </c>
      <c r="D175" s="5">
        <v>4110.4635385031543</v>
      </c>
      <c r="E175" s="5">
        <v>4996.7273114366353</v>
      </c>
      <c r="F175" s="5">
        <v>5251.5223775210106</v>
      </c>
      <c r="G175" s="5">
        <v>6207.8423471143806</v>
      </c>
      <c r="H175" s="5">
        <v>6588.872417311869</v>
      </c>
      <c r="I175" s="5">
        <v>7540.6171959302137</v>
      </c>
      <c r="J175" s="5">
        <v>7940.8361884129654</v>
      </c>
      <c r="K175" s="5">
        <v>8504.8599317192202</v>
      </c>
      <c r="L175" s="5">
        <v>7977.0414390474261</v>
      </c>
      <c r="M175" s="5">
        <v>7007.5673131581198</v>
      </c>
      <c r="N175" s="5">
        <v>6300.6308757412589</v>
      </c>
      <c r="O175" s="5">
        <v>7070.0248221151023</v>
      </c>
      <c r="P175" s="5">
        <v>8130.4859250107884</v>
      </c>
      <c r="Q175" s="5">
        <v>8631.4867070434593</v>
      </c>
      <c r="R175" s="5">
        <v>8815.6713270540313</v>
      </c>
      <c r="S175" s="5">
        <v>9614.5217486920756</v>
      </c>
      <c r="T175" s="5">
        <v>9268.462646391461</v>
      </c>
      <c r="U175" s="5">
        <v>9002.3835056002717</v>
      </c>
      <c r="V175" s="5">
        <v>9977.1095161013418</v>
      </c>
      <c r="W175" s="5">
        <v>9862.0024276906661</v>
      </c>
      <c r="X175" s="5">
        <v>10309.089027116877</v>
      </c>
      <c r="Y175" s="5">
        <v>10556.064972007596</v>
      </c>
      <c r="Z175" s="5">
        <v>11039.683970234664</v>
      </c>
      <c r="AA175" s="5">
        <v>11387.051372470327</v>
      </c>
      <c r="AB175" s="5">
        <v>11564.621737454741</v>
      </c>
      <c r="AC175" s="5">
        <v>12095.176591625077</v>
      </c>
      <c r="AD175" s="5">
        <v>12714.248215666848</v>
      </c>
      <c r="AE175" s="5">
        <v>12549.80522723534</v>
      </c>
      <c r="AF175" s="5">
        <v>13986.772333160548</v>
      </c>
      <c r="AG175" s="5">
        <v>13516.665386779541</v>
      </c>
      <c r="AH175" s="5">
        <v>14333.227393567666</v>
      </c>
      <c r="AI175" s="5">
        <v>13945.435785099924</v>
      </c>
      <c r="AJ175" s="5">
        <v>14087.815420904335</v>
      </c>
      <c r="AK175" s="5">
        <v>15189.017609171369</v>
      </c>
      <c r="AL175" s="5">
        <v>13924.334531669241</v>
      </c>
      <c r="AM175" s="5">
        <v>14158.497681555971</v>
      </c>
      <c r="AN175" s="5">
        <v>14000.648933031587</v>
      </c>
      <c r="AO175" s="5">
        <v>14200.598815753094</v>
      </c>
      <c r="AP175" s="5">
        <v>14457.601000970042</v>
      </c>
      <c r="AQ175" s="5">
        <v>14401.564198436912</v>
      </c>
      <c r="AR175" s="5">
        <v>14537.753675448481</v>
      </c>
      <c r="AS175" s="5">
        <v>14128.701503067843</v>
      </c>
      <c r="AT175" s="5">
        <v>13734.963386179837</v>
      </c>
      <c r="AU175" s="5">
        <v>13656.982341827767</v>
      </c>
      <c r="AV175" s="5">
        <v>12549.738398048547</v>
      </c>
      <c r="AW175" s="5">
        <v>12102.404358781343</v>
      </c>
      <c r="AX175" s="5">
        <v>11758.820781126264</v>
      </c>
      <c r="AY175" s="5">
        <v>11834.314362953808</v>
      </c>
      <c r="AZ175" s="5">
        <v>11718.150396228128</v>
      </c>
      <c r="BA175" s="5">
        <v>11678.979273408047</v>
      </c>
      <c r="BB175" s="5">
        <v>12252.582778330407</v>
      </c>
      <c r="BC175" s="5">
        <v>11764.211080248855</v>
      </c>
      <c r="BD175" s="5">
        <v>12074.081750916837</v>
      </c>
      <c r="BE175" s="5">
        <v>12060.934292865377</v>
      </c>
      <c r="BF175" s="5">
        <v>12235.179903895683</v>
      </c>
      <c r="BG175" s="5">
        <v>12324.019154602311</v>
      </c>
      <c r="BH175" s="5">
        <v>12345.703828767473</v>
      </c>
      <c r="BI175" s="5">
        <v>12928.66274475458</v>
      </c>
      <c r="BJ175" s="5">
        <v>13102.917199011265</v>
      </c>
      <c r="BK175" s="5">
        <v>12876.469685184165</v>
      </c>
      <c r="BL175" s="5">
        <v>13154.360098780062</v>
      </c>
      <c r="BM175" s="5">
        <v>12600.525298129432</v>
      </c>
      <c r="BN175" s="5">
        <v>12177.129926965399</v>
      </c>
      <c r="BO175" s="5">
        <v>11442.437791334183</v>
      </c>
      <c r="BP175" s="5">
        <v>10657.803064458458</v>
      </c>
      <c r="BQ175" s="5">
        <v>10672.638660058343</v>
      </c>
      <c r="BR175" s="5">
        <v>10646.828260249466</v>
      </c>
      <c r="BS175" s="5">
        <v>11192.507780601774</v>
      </c>
      <c r="BT175" s="5">
        <v>11437.131379858862</v>
      </c>
      <c r="BU175" s="5">
        <v>12401.872177306359</v>
      </c>
      <c r="BV175" s="5">
        <v>13754.461159777145</v>
      </c>
      <c r="BW175" s="5">
        <v>14546.001242187329</v>
      </c>
      <c r="BX175" s="5">
        <v>15022.001945843775</v>
      </c>
      <c r="BY175" s="5">
        <v>14540.677806856775</v>
      </c>
      <c r="BZ175" s="5">
        <v>16624.820117458439</v>
      </c>
      <c r="CA175" s="5">
        <v>22439.234721363191</v>
      </c>
    </row>
    <row r="176" spans="1:79" x14ac:dyDescent="0.2">
      <c r="A176" t="s">
        <v>273</v>
      </c>
      <c r="C176" t="s">
        <v>5</v>
      </c>
      <c r="D176" s="5">
        <v>938.22683784655896</v>
      </c>
      <c r="E176" s="5">
        <v>823.66733757566897</v>
      </c>
      <c r="F176" s="5">
        <v>1139.3109510678878</v>
      </c>
      <c r="G176" s="5">
        <v>1519.8744409064163</v>
      </c>
      <c r="H176" s="5">
        <v>1912.7236249130392</v>
      </c>
      <c r="I176" s="5">
        <v>1958.2813971177748</v>
      </c>
      <c r="J176" s="5">
        <v>1620.9264372196185</v>
      </c>
      <c r="K176" s="5">
        <v>1583.5906574013763</v>
      </c>
      <c r="L176" s="5">
        <v>1672.1129894854016</v>
      </c>
      <c r="M176" s="5">
        <v>1556.2910427112274</v>
      </c>
      <c r="N176" s="5">
        <v>1646.7643519036396</v>
      </c>
      <c r="O176" s="5">
        <v>1567.7136514080312</v>
      </c>
      <c r="P176" s="5">
        <v>1705.210366958747</v>
      </c>
      <c r="Q176" s="5">
        <v>1883.6747126047476</v>
      </c>
      <c r="R176" s="5">
        <v>1962.0598923798839</v>
      </c>
      <c r="S176" s="5">
        <v>1989.667635702489</v>
      </c>
      <c r="T176" s="5">
        <v>2305.8562639853644</v>
      </c>
      <c r="U176" s="5">
        <v>2292.1227936644959</v>
      </c>
      <c r="V176" s="5">
        <v>2363.8980105196547</v>
      </c>
      <c r="W176" s="5">
        <v>2505.7496803817512</v>
      </c>
      <c r="X176" s="5">
        <v>2644.7000221467224</v>
      </c>
      <c r="Y176" s="5">
        <v>2652.0109967641351</v>
      </c>
      <c r="Z176" s="5">
        <v>2718.9486020704394</v>
      </c>
      <c r="AA176" s="5">
        <v>2717.9552883662509</v>
      </c>
      <c r="AB176" s="5">
        <v>2737.4262265243133</v>
      </c>
      <c r="AC176" s="5">
        <v>2810.972903987868</v>
      </c>
      <c r="AD176" s="5">
        <v>3048.6617416610648</v>
      </c>
      <c r="AE176" s="5">
        <v>3121.366282451776</v>
      </c>
      <c r="AF176" s="5">
        <v>3185.0936282164903</v>
      </c>
      <c r="AG176" s="5">
        <v>3401.6245432210349</v>
      </c>
      <c r="AH176" s="5">
        <v>3487.7383872673131</v>
      </c>
      <c r="AI176" s="5">
        <v>3520.9780186912089</v>
      </c>
      <c r="AJ176" s="5">
        <v>3559.3355797041781</v>
      </c>
      <c r="AK176" s="5">
        <v>3698.1662843850163</v>
      </c>
      <c r="AL176" s="5">
        <v>3859.2905253708373</v>
      </c>
      <c r="AM176" s="5">
        <v>3717.1166247354286</v>
      </c>
      <c r="AN176" s="5">
        <v>4282.4750080078738</v>
      </c>
      <c r="AO176" s="5">
        <v>4147.1758299976154</v>
      </c>
      <c r="AP176" s="5">
        <v>4413.3867877464445</v>
      </c>
      <c r="AQ176" s="5">
        <v>4206.3271309996871</v>
      </c>
      <c r="AR176" s="5">
        <v>4317.9895244942809</v>
      </c>
      <c r="AS176" s="5">
        <v>4352.8518640816819</v>
      </c>
      <c r="AT176" s="5">
        <v>4221.1572204423683</v>
      </c>
      <c r="AU176" s="5">
        <v>4574.4970286811076</v>
      </c>
      <c r="AV176" s="5">
        <v>4262.8556903798044</v>
      </c>
      <c r="AW176" s="5">
        <v>4482.3022392276262</v>
      </c>
      <c r="AX176" s="5">
        <v>4047.8963692313841</v>
      </c>
      <c r="AY176" s="5">
        <v>4103.3708892949453</v>
      </c>
      <c r="AZ176" s="5">
        <v>4035.2241387500126</v>
      </c>
      <c r="BA176" s="5">
        <v>4302.5527865475615</v>
      </c>
      <c r="BB176" s="5">
        <v>4324.0734275575687</v>
      </c>
      <c r="BC176" s="5">
        <v>4180.5075202199359</v>
      </c>
      <c r="BD176" s="5">
        <v>4208.003433784369</v>
      </c>
      <c r="BE176" s="5">
        <v>5056.834248639223</v>
      </c>
      <c r="BF176" s="5">
        <v>4861.7307155084172</v>
      </c>
      <c r="BG176" s="5">
        <v>4984.9943126376911</v>
      </c>
      <c r="BH176" s="5">
        <v>4690.1008934355514</v>
      </c>
      <c r="BI176" s="5">
        <v>4681.0612579210729</v>
      </c>
      <c r="BJ176" s="5">
        <v>4980.1015589511071</v>
      </c>
      <c r="BK176" s="5">
        <v>5008.0020574093669</v>
      </c>
      <c r="BL176" s="5">
        <v>5313.2746875653111</v>
      </c>
      <c r="BM176" s="5">
        <v>5230.2639798607624</v>
      </c>
      <c r="BN176" s="5">
        <v>5328.9018915195284</v>
      </c>
      <c r="BO176" s="5">
        <v>5425.9758239198582</v>
      </c>
      <c r="BP176" s="5">
        <v>5551.9976082219955</v>
      </c>
      <c r="BQ176" s="5">
        <v>5792.5956371705724</v>
      </c>
      <c r="BR176" s="5">
        <v>5750.4363182619718</v>
      </c>
      <c r="BS176" s="5">
        <v>5968.1276127805359</v>
      </c>
      <c r="BT176" s="5">
        <v>6586.7714468876093</v>
      </c>
      <c r="BU176" s="5">
        <v>6939.5025490809176</v>
      </c>
      <c r="BV176" s="5">
        <v>7342.4082390289868</v>
      </c>
      <c r="BW176" s="5">
        <v>7438.9019735029251</v>
      </c>
      <c r="BX176" s="5">
        <v>7656.2945502732564</v>
      </c>
      <c r="BY176" s="5">
        <v>8348.207389161571</v>
      </c>
      <c r="BZ176" s="5">
        <v>8797.7624866307615</v>
      </c>
      <c r="CA176" s="5">
        <v>10285.498860115124</v>
      </c>
    </row>
    <row r="177" spans="1:79" x14ac:dyDescent="0.2">
      <c r="A177" t="s">
        <v>274</v>
      </c>
      <c r="C177" t="s">
        <v>5</v>
      </c>
      <c r="D177" s="5">
        <v>633.53852074405791</v>
      </c>
      <c r="E177" s="5">
        <v>681.55439430952242</v>
      </c>
      <c r="F177" s="5">
        <v>707.96162965849726</v>
      </c>
      <c r="G177" s="5">
        <v>773.26679118873733</v>
      </c>
      <c r="H177" s="5">
        <v>894.95857975940692</v>
      </c>
      <c r="I177" s="5">
        <v>940.85037407549066</v>
      </c>
      <c r="J177" s="5">
        <v>1006.5457764378162</v>
      </c>
      <c r="K177" s="5">
        <v>999.20844877893273</v>
      </c>
      <c r="L177" s="5">
        <v>1026.2502766618475</v>
      </c>
      <c r="M177" s="5">
        <v>1049.3739669181305</v>
      </c>
      <c r="N177" s="5">
        <v>1178.0213645615622</v>
      </c>
      <c r="O177" s="5">
        <v>1225.5384175551878</v>
      </c>
      <c r="P177" s="5">
        <v>1964.7264706092262</v>
      </c>
      <c r="Q177" s="5">
        <v>2233.388450366388</v>
      </c>
      <c r="R177" s="5">
        <v>2181.4902533858426</v>
      </c>
      <c r="S177" s="5">
        <v>2378.0063728069526</v>
      </c>
      <c r="T177" s="5">
        <v>2379.4108655711852</v>
      </c>
      <c r="U177" s="5">
        <v>2507.1067095551157</v>
      </c>
      <c r="V177" s="5">
        <v>3076.9989837055759</v>
      </c>
      <c r="W177" s="5">
        <v>3239.2632193292852</v>
      </c>
      <c r="X177" s="5">
        <v>3040.5558217336661</v>
      </c>
      <c r="Y177" s="5">
        <v>3383.3647897668634</v>
      </c>
      <c r="Z177" s="5">
        <v>3689.9108458734818</v>
      </c>
      <c r="AA177" s="5">
        <v>3697.3346661209334</v>
      </c>
      <c r="AB177" s="5">
        <v>3494.4846699768618</v>
      </c>
      <c r="AC177" s="5">
        <v>4096.8046676336244</v>
      </c>
      <c r="AD177" s="5">
        <v>2696.3563208386468</v>
      </c>
      <c r="AE177" s="5">
        <v>2159.5561192154182</v>
      </c>
      <c r="AF177" s="5">
        <v>1989.4480505067449</v>
      </c>
      <c r="AG177" s="5">
        <v>2009.4892291180211</v>
      </c>
      <c r="AH177" s="5">
        <v>2042.2517010242593</v>
      </c>
      <c r="AI177" s="5">
        <v>2213.9239848430993</v>
      </c>
      <c r="AJ177" s="5">
        <v>2203.9864319597723</v>
      </c>
      <c r="AK177" s="5">
        <v>2207.4407888069636</v>
      </c>
      <c r="AL177" s="5">
        <v>2122.429879557405</v>
      </c>
      <c r="AM177" s="5">
        <v>1975.1746835162826</v>
      </c>
      <c r="AN177" s="5">
        <v>1998.3714880960545</v>
      </c>
      <c r="AO177" s="5">
        <v>2247.3632967910153</v>
      </c>
      <c r="AP177" s="5">
        <v>2338.8152497631218</v>
      </c>
      <c r="AQ177" s="5">
        <v>2597.1243933795286</v>
      </c>
      <c r="AR177" s="5">
        <v>2725.9346889716435</v>
      </c>
      <c r="AS177" s="5">
        <v>2802.3652183127265</v>
      </c>
      <c r="AT177" s="5">
        <v>2888.6210312009271</v>
      </c>
      <c r="AU177" s="5">
        <v>2966.16474896108</v>
      </c>
      <c r="AV177" s="5">
        <v>2871.4700640329775</v>
      </c>
      <c r="AW177" s="5">
        <v>2793.4208121171218</v>
      </c>
      <c r="AX177" s="5">
        <v>3000.0240787483567</v>
      </c>
      <c r="AY177" s="5">
        <v>2894.0629483536159</v>
      </c>
      <c r="AZ177" s="5">
        <v>2952.0631479086646</v>
      </c>
      <c r="BA177" s="5">
        <v>2890.9704888260635</v>
      </c>
      <c r="BB177" s="5">
        <v>3041.0862625985978</v>
      </c>
      <c r="BC177" s="5">
        <v>3131.7408325262645</v>
      </c>
      <c r="BD177" s="5">
        <v>3258.3500088236428</v>
      </c>
      <c r="BE177" s="5">
        <v>3347.2836376607515</v>
      </c>
      <c r="BF177" s="5">
        <v>3251.9758866674533</v>
      </c>
      <c r="BG177" s="5">
        <v>3478.7375677635541</v>
      </c>
      <c r="BH177" s="5">
        <v>3748.3848812500642</v>
      </c>
      <c r="BI177" s="5">
        <v>3616.7064042846396</v>
      </c>
      <c r="BJ177" s="5">
        <v>3395.2793084003542</v>
      </c>
      <c r="BK177" s="5">
        <v>3471.1209902072583</v>
      </c>
      <c r="BL177" s="5">
        <v>3714.3096392600282</v>
      </c>
      <c r="BM177" s="5">
        <v>3638.4330823699738</v>
      </c>
      <c r="BN177" s="5">
        <v>3449.7973439693728</v>
      </c>
      <c r="BO177" s="5">
        <v>3023.2063171723594</v>
      </c>
      <c r="BP177" s="5">
        <v>3130.8917943185556</v>
      </c>
      <c r="BQ177" s="5">
        <v>2891.7260261331635</v>
      </c>
      <c r="BR177" s="5">
        <v>3031.5511725436822</v>
      </c>
      <c r="BS177" s="5">
        <v>3632.582640703492</v>
      </c>
      <c r="BT177" s="5">
        <v>3022.4410975967944</v>
      </c>
      <c r="BU177" s="5">
        <v>3395.186016607664</v>
      </c>
      <c r="BV177" s="5">
        <v>3626.1419674549161</v>
      </c>
      <c r="BW177" s="5">
        <v>3528.1446518060011</v>
      </c>
      <c r="BX177" s="5">
        <v>3989.5819183266749</v>
      </c>
      <c r="BY177" s="5">
        <v>3821.4998745390558</v>
      </c>
      <c r="BZ177" s="5">
        <v>4236.1528256144102</v>
      </c>
      <c r="CA177" s="5">
        <v>4522.6135951767947</v>
      </c>
    </row>
    <row r="178" spans="1:79" x14ac:dyDescent="0.2">
      <c r="A178" t="s">
        <v>275</v>
      </c>
      <c r="C178" t="s">
        <v>276</v>
      </c>
      <c r="D178" s="5">
        <v>3074.3369662112746</v>
      </c>
      <c r="E178" s="5">
        <v>2882.0851854354673</v>
      </c>
      <c r="F178" s="5">
        <v>2727.4533798004354</v>
      </c>
      <c r="G178" s="5">
        <v>3456.9221377676422</v>
      </c>
      <c r="H178" s="5">
        <v>3389.5515822218813</v>
      </c>
      <c r="I178" s="5">
        <v>3406.3725495403633</v>
      </c>
      <c r="J178" s="5">
        <v>3685.4159812876956</v>
      </c>
      <c r="K178" s="5">
        <v>3910.7699480944184</v>
      </c>
      <c r="L178" s="5">
        <v>4092.3009693847707</v>
      </c>
      <c r="M178" s="5">
        <v>3590.4692750283139</v>
      </c>
      <c r="N178" s="5">
        <v>3421.2545495121044</v>
      </c>
      <c r="O178" s="5">
        <v>4106.7392078109533</v>
      </c>
      <c r="P178" s="5">
        <v>4138.5322688494398</v>
      </c>
      <c r="Q178" s="5">
        <v>5054.4411761221299</v>
      </c>
      <c r="R178" s="5">
        <v>4761.7058333507321</v>
      </c>
      <c r="S178" s="5">
        <v>5441.1118481774092</v>
      </c>
      <c r="T178" s="5">
        <v>5458.5681118297762</v>
      </c>
      <c r="U178" s="5">
        <v>6561.6299408442392</v>
      </c>
      <c r="V178" s="5">
        <v>6167.6173273730319</v>
      </c>
      <c r="W178" s="5">
        <v>8170.8352588623857</v>
      </c>
      <c r="X178" s="5">
        <v>9639.4255422517508</v>
      </c>
      <c r="Y178" s="5">
        <v>9719.1103670842658</v>
      </c>
      <c r="Z178" s="5">
        <v>9341.5205063062458</v>
      </c>
      <c r="AA178" s="5">
        <v>11131.880155391131</v>
      </c>
      <c r="AB178" s="5">
        <v>10971.087459698196</v>
      </c>
      <c r="AC178" s="7">
        <v>12144.960570412508</v>
      </c>
      <c r="AD178" s="7">
        <v>11072.148265934036</v>
      </c>
      <c r="AE178" s="7">
        <v>13117.592446705617</v>
      </c>
      <c r="AF178" s="7">
        <v>13325.819733852219</v>
      </c>
      <c r="AG178" s="7">
        <v>13874.000524453615</v>
      </c>
      <c r="AH178" s="7">
        <v>14859.48562441697</v>
      </c>
      <c r="AI178" s="7">
        <v>15407.687716687587</v>
      </c>
      <c r="AJ178" s="7">
        <v>15649.481629467606</v>
      </c>
      <c r="AK178" s="7">
        <v>16206.743269154378</v>
      </c>
      <c r="AL178" s="5">
        <v>18157.111536260276</v>
      </c>
      <c r="AM178" s="5">
        <v>18599.571354282445</v>
      </c>
      <c r="AN178" s="5">
        <v>18920.260386467191</v>
      </c>
      <c r="AO178" s="5">
        <v>17688.074143239253</v>
      </c>
      <c r="AP178" s="5">
        <v>18719.070076085791</v>
      </c>
      <c r="AQ178" s="5">
        <v>18925.347854051277</v>
      </c>
      <c r="AR178" s="5">
        <v>18823.903031836682</v>
      </c>
      <c r="AS178" s="5">
        <v>19094.265003773253</v>
      </c>
      <c r="AT178" s="5">
        <v>18350.923337445107</v>
      </c>
      <c r="AU178" s="5">
        <v>17901.709282866061</v>
      </c>
      <c r="AV178" s="5">
        <v>17443.413887311945</v>
      </c>
      <c r="AW178" s="5">
        <v>17623.433802659158</v>
      </c>
      <c r="AX178" s="5">
        <v>17763.323235111009</v>
      </c>
      <c r="AY178" s="5">
        <v>17202.479331285067</v>
      </c>
      <c r="AZ178" s="5">
        <v>17034.424259791202</v>
      </c>
      <c r="BA178" s="5">
        <v>17877.063289176574</v>
      </c>
      <c r="BB178" s="5">
        <v>19645.587153396827</v>
      </c>
      <c r="BC178" s="7">
        <v>20303.51256013535</v>
      </c>
      <c r="BD178" s="7">
        <v>20078.184099744019</v>
      </c>
      <c r="BE178" s="5">
        <v>18611.220536595036</v>
      </c>
      <c r="BF178" s="5">
        <v>18888.660149808318</v>
      </c>
      <c r="BG178" s="5">
        <v>19743.843686963199</v>
      </c>
      <c r="BH178" s="5">
        <v>19989.673603848809</v>
      </c>
      <c r="BI178" s="5">
        <v>20644.340124850929</v>
      </c>
      <c r="BJ178" s="5">
        <v>21411.1250501373</v>
      </c>
      <c r="BK178" s="5">
        <v>21293.384477768876</v>
      </c>
      <c r="BL178" s="5">
        <v>20441.338230480585</v>
      </c>
      <c r="BM178" s="5">
        <v>20573.921038846525</v>
      </c>
      <c r="BN178" s="5">
        <v>18979.547942141617</v>
      </c>
      <c r="BO178" s="5">
        <v>19194.693707620561</v>
      </c>
      <c r="BP178" s="5">
        <v>16745.774133029121</v>
      </c>
      <c r="BQ178" s="5">
        <v>16721.153197682048</v>
      </c>
      <c r="BR178" s="5">
        <v>17773.826518191559</v>
      </c>
      <c r="BS178" s="5">
        <v>16481.020016692823</v>
      </c>
      <c r="BT178" s="5">
        <v>18239.589661811529</v>
      </c>
      <c r="BU178" s="5">
        <v>18944.551977261042</v>
      </c>
      <c r="BV178" s="5">
        <v>19128.265759195183</v>
      </c>
      <c r="BW178" s="5">
        <v>19114.459317962108</v>
      </c>
      <c r="BX178" s="5">
        <v>20036.930586349485</v>
      </c>
      <c r="BY178" s="5">
        <v>21595.620808611198</v>
      </c>
      <c r="BZ178" s="5">
        <v>23821.202155565446</v>
      </c>
      <c r="CA178" s="5">
        <v>23926.441391807988</v>
      </c>
    </row>
    <row r="179" spans="1:79" x14ac:dyDescent="0.2">
      <c r="A179" t="s">
        <v>277</v>
      </c>
      <c r="C179" t="s">
        <v>5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s="7">
        <v>3707.4183522656476</v>
      </c>
      <c r="P179" s="7">
        <v>3890.078550136614</v>
      </c>
      <c r="Q179" s="7">
        <v>4183.3416984250061</v>
      </c>
      <c r="R179" s="7">
        <v>4460.7528251361737</v>
      </c>
      <c r="S179" s="7">
        <v>4689.7729150264367</v>
      </c>
      <c r="T179" s="7">
        <v>4971.7208121249596</v>
      </c>
      <c r="U179" s="7">
        <v>5017.9020416739031</v>
      </c>
      <c r="V179" s="7">
        <v>4890.9952189556398</v>
      </c>
      <c r="W179" s="7">
        <v>4896.8397791463576</v>
      </c>
      <c r="X179" s="7">
        <v>5154.8998874941281</v>
      </c>
      <c r="Y179" s="7">
        <v>5294.7217912781534</v>
      </c>
      <c r="Z179" s="7">
        <v>5412.1049226112818</v>
      </c>
      <c r="AA179" s="7">
        <v>5582.9688153046509</v>
      </c>
      <c r="AB179" s="7">
        <v>5600.681786822197</v>
      </c>
      <c r="AC179" s="7">
        <v>5645.0046416149207</v>
      </c>
      <c r="AD179" s="7">
        <v>5787.4033736445381</v>
      </c>
      <c r="AE179" s="7">
        <v>5784.4553646025961</v>
      </c>
      <c r="AF179" s="7">
        <v>5827.2759535231826</v>
      </c>
      <c r="AG179" s="7">
        <v>5998.313692414973</v>
      </c>
      <c r="AH179" s="7">
        <v>6222.596579430633</v>
      </c>
      <c r="AI179" s="5">
        <v>6078.2902432471892</v>
      </c>
      <c r="AJ179" s="5">
        <v>5974.5527015136204</v>
      </c>
      <c r="AK179" s="5">
        <v>5829.6326309331771</v>
      </c>
      <c r="AL179" s="5">
        <v>5762.8479448111302</v>
      </c>
      <c r="AM179" s="5">
        <v>5842.1584402408398</v>
      </c>
      <c r="AN179" s="5">
        <v>5928.6309331467246</v>
      </c>
      <c r="AO179" s="5">
        <v>6026.9937980503528</v>
      </c>
      <c r="AP179" s="5">
        <v>6017.3365464997951</v>
      </c>
      <c r="AQ179" s="5">
        <v>6113.1338386525404</v>
      </c>
      <c r="AR179" s="7">
        <v>6340.083779350266</v>
      </c>
      <c r="AS179" s="7">
        <v>6384.1271088543399</v>
      </c>
      <c r="AT179" s="7">
        <v>5931.2837635455289</v>
      </c>
      <c r="AU179" s="5">
        <v>5834.3697474992478</v>
      </c>
      <c r="AV179" s="5">
        <v>5765.8568738289669</v>
      </c>
      <c r="AW179" s="5">
        <v>5670.7073980970208</v>
      </c>
      <c r="AX179" s="5">
        <v>4937.667629279601</v>
      </c>
      <c r="AY179" s="5">
        <v>4268.315787009672</v>
      </c>
      <c r="AZ179" s="5">
        <v>5707.057749690407</v>
      </c>
      <c r="BA179" s="5">
        <v>5900.5362444916855</v>
      </c>
      <c r="BB179" s="5">
        <v>6158.8886478961504</v>
      </c>
      <c r="BC179" s="5">
        <v>6347.1181660413622</v>
      </c>
      <c r="BD179" s="5">
        <v>6282.3369531516992</v>
      </c>
      <c r="BE179" s="5">
        <v>5893.1687706696512</v>
      </c>
      <c r="BF179" s="5">
        <v>5850.283718182387</v>
      </c>
      <c r="BG179" s="5">
        <v>5505.7180049498911</v>
      </c>
      <c r="BH179" s="5">
        <v>5577.3065275262416</v>
      </c>
      <c r="BI179" s="5">
        <v>5490.4529605310163</v>
      </c>
      <c r="BJ179" s="5">
        <v>5634.3958320878246</v>
      </c>
      <c r="BK179" s="5">
        <v>5011.404938391629</v>
      </c>
      <c r="BL179" s="5">
        <v>4914.6802220093996</v>
      </c>
      <c r="BM179" s="5">
        <v>5318.7985921762784</v>
      </c>
      <c r="BN179" s="5">
        <v>5001.0763311287601</v>
      </c>
      <c r="BO179" s="5">
        <v>5105.6175169232847</v>
      </c>
      <c r="BP179" s="5">
        <v>5135.2903821845748</v>
      </c>
      <c r="BQ179" s="5">
        <v>5440.6618843734486</v>
      </c>
      <c r="BR179" s="5">
        <v>5499.121903088253</v>
      </c>
      <c r="BS179" s="5">
        <v>5571.7202203847264</v>
      </c>
      <c r="BT179" s="5">
        <v>5571.4517254846896</v>
      </c>
      <c r="BU179" s="5">
        <v>5755.351426800331</v>
      </c>
      <c r="BV179" s="5">
        <v>6264.0468951015318</v>
      </c>
      <c r="BW179" s="5">
        <v>6518.9984351851563</v>
      </c>
      <c r="BX179" s="5">
        <v>7185.6306619369279</v>
      </c>
      <c r="BY179" s="5">
        <v>7962.9767352666768</v>
      </c>
      <c r="BZ179" s="5">
        <v>8754.8729510121648</v>
      </c>
      <c r="CA179" s="5">
        <v>11718.548095512184</v>
      </c>
    </row>
    <row r="180" spans="1:79" x14ac:dyDescent="0.2">
      <c r="A180" t="s">
        <v>278</v>
      </c>
      <c r="C180" t="s">
        <v>279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  <c r="L180" s="7">
        <v>4356.508220957955</v>
      </c>
      <c r="M180" s="7">
        <v>4642.0604070010777</v>
      </c>
      <c r="N180" s="7">
        <v>4501.1870265365196</v>
      </c>
      <c r="O180" s="7">
        <v>4215.731018804031</v>
      </c>
      <c r="P180" s="7">
        <v>4910.434656101751</v>
      </c>
      <c r="Q180" s="7">
        <v>5428.3546856739486</v>
      </c>
      <c r="R180" s="7">
        <v>5655.5698219549695</v>
      </c>
      <c r="S180" s="7">
        <v>6128.7351593682943</v>
      </c>
      <c r="T180" s="7">
        <v>6177.2429182784726</v>
      </c>
      <c r="U180" s="7">
        <v>6492.2853152521329</v>
      </c>
      <c r="V180" s="7">
        <v>6324.3194686188472</v>
      </c>
      <c r="W180" s="7">
        <v>6024.2667551303412</v>
      </c>
      <c r="X180" s="7">
        <v>6431.6167447394582</v>
      </c>
      <c r="Y180" s="7">
        <v>6616.574044611747</v>
      </c>
      <c r="Z180" s="7">
        <v>6882.4155112424078</v>
      </c>
      <c r="AA180" s="7">
        <v>7011.2313088103674</v>
      </c>
      <c r="AB180" s="7">
        <v>6794.826982683463</v>
      </c>
      <c r="AC180" s="7">
        <v>6768.1018712846053</v>
      </c>
      <c r="AD180" s="7">
        <v>6384.0626166724014</v>
      </c>
      <c r="AE180" s="7">
        <v>7232.8989233115617</v>
      </c>
      <c r="AF180" s="7">
        <v>6857.3375782792227</v>
      </c>
      <c r="AG180" s="7">
        <v>6868.5523159296536</v>
      </c>
      <c r="AH180" s="7">
        <v>7182.0338407497593</v>
      </c>
      <c r="AI180" s="7">
        <v>7143.4507361230708</v>
      </c>
      <c r="AJ180" s="7">
        <v>7131.0989795404494</v>
      </c>
      <c r="AK180" s="7">
        <v>7428.7000206208386</v>
      </c>
      <c r="AL180" s="7">
        <v>7527.8777405638975</v>
      </c>
      <c r="AM180" s="7">
        <v>7606.8066546958771</v>
      </c>
      <c r="AN180" s="7">
        <v>8367.3536966227966</v>
      </c>
      <c r="AO180" s="7">
        <v>7931.1762716025059</v>
      </c>
      <c r="AP180" s="7">
        <v>7629.9426503230734</v>
      </c>
      <c r="AQ180" s="7">
        <v>7970.996037905451</v>
      </c>
      <c r="AR180" s="7">
        <v>8126.3190073131473</v>
      </c>
      <c r="AS180" s="5">
        <v>8618.5087361682035</v>
      </c>
      <c r="AT180" s="5">
        <v>8320.4885860533486</v>
      </c>
      <c r="AU180" s="5">
        <v>8079.2334338513447</v>
      </c>
      <c r="AV180" s="5">
        <v>7173.9074793067657</v>
      </c>
      <c r="AW180" s="5">
        <v>7108.848594088493</v>
      </c>
      <c r="AX180" s="5">
        <v>7192.752713125732</v>
      </c>
      <c r="AY180" s="5">
        <v>6806.2228257444485</v>
      </c>
      <c r="AZ180" s="5">
        <v>6560.3738032034898</v>
      </c>
      <c r="BA180" s="5">
        <v>6544.9858071148547</v>
      </c>
      <c r="BB180" s="5">
        <v>6058.1612571504193</v>
      </c>
      <c r="BC180" s="5">
        <v>5967.7158788983406</v>
      </c>
      <c r="BD180" s="5">
        <v>5828.0491655665282</v>
      </c>
      <c r="BE180" s="5">
        <v>5578.5169204432705</v>
      </c>
      <c r="BF180" s="5">
        <v>5433.3348539713725</v>
      </c>
      <c r="BG180" s="5">
        <v>5332.5342893510524</v>
      </c>
      <c r="BH180" s="5">
        <v>5248.9883416300781</v>
      </c>
      <c r="BI180" s="5">
        <v>4996.4462257333416</v>
      </c>
      <c r="BJ180" s="5">
        <v>5027.8559893559841</v>
      </c>
      <c r="BK180" s="5">
        <v>5150.086960688167</v>
      </c>
      <c r="BL180" s="5">
        <v>5144.6410709308066</v>
      </c>
      <c r="BM180" s="5">
        <v>4969.3790222595262</v>
      </c>
      <c r="BN180" s="5">
        <v>5102.3028388867779</v>
      </c>
      <c r="BO180" s="5">
        <v>5008.7693894650911</v>
      </c>
      <c r="BP180" s="5">
        <v>5438.1791288860868</v>
      </c>
      <c r="BQ180" s="5">
        <v>4927.0695762278056</v>
      </c>
      <c r="BR180" s="5">
        <v>5131.5061150176216</v>
      </c>
      <c r="BS180" s="5">
        <v>5337.5086694390147</v>
      </c>
      <c r="BT180" s="5">
        <v>5369.259432133048</v>
      </c>
      <c r="BU180" s="5">
        <v>5407.3502920644214</v>
      </c>
      <c r="BV180" s="5">
        <v>5805.9308823170068</v>
      </c>
      <c r="BW180" s="5">
        <v>6305.3060418628829</v>
      </c>
      <c r="BX180" s="5">
        <v>5839.8295478387981</v>
      </c>
      <c r="BY180" s="5">
        <v>6111.754152516598</v>
      </c>
      <c r="BZ180" s="5">
        <v>6289.1763484648855</v>
      </c>
      <c r="CA180" s="5">
        <v>6483.709492308506</v>
      </c>
    </row>
    <row r="181" spans="1:79" x14ac:dyDescent="0.2">
      <c r="A181" t="s">
        <v>280</v>
      </c>
      <c r="C181" t="s">
        <v>281</v>
      </c>
      <c r="D181" t="s">
        <v>6</v>
      </c>
      <c r="E181" s="5">
        <v>35704.86149608095</v>
      </c>
      <c r="F181" s="5">
        <v>42039.702856631076</v>
      </c>
      <c r="G181" s="5">
        <v>53777.984123986833</v>
      </c>
      <c r="H181" s="5">
        <v>59747.701624979505</v>
      </c>
      <c r="I181" s="5">
        <v>56723.213973190461</v>
      </c>
      <c r="J181" s="5">
        <v>54008.653697963215</v>
      </c>
      <c r="K181" s="5">
        <v>53009.537074453765</v>
      </c>
      <c r="L181" s="5">
        <v>51188.485648261652</v>
      </c>
      <c r="M181" s="5">
        <v>49846.43572039315</v>
      </c>
      <c r="N181" s="5">
        <v>49594.407446727302</v>
      </c>
      <c r="O181" s="5">
        <v>50619.858951101975</v>
      </c>
      <c r="P181" s="5">
        <v>50570.863424127034</v>
      </c>
      <c r="Q181" s="5">
        <v>51220.095656546182</v>
      </c>
      <c r="R181" s="5">
        <v>52094.808959978545</v>
      </c>
      <c r="S181" s="5">
        <v>53505.880380121591</v>
      </c>
      <c r="T181" s="5">
        <v>53666.061140564372</v>
      </c>
      <c r="U181" s="5">
        <v>53379.645703421244</v>
      </c>
      <c r="V181" s="5">
        <v>54743.850438548805</v>
      </c>
      <c r="W181" s="5">
        <v>53964.064210806828</v>
      </c>
      <c r="X181" s="5">
        <v>50996.533350747988</v>
      </c>
      <c r="Y181" s="5">
        <v>52528.46521482792</v>
      </c>
      <c r="Z181" s="5">
        <v>52410.854112899025</v>
      </c>
      <c r="AA181" s="5">
        <v>55748.855376003426</v>
      </c>
      <c r="AB181" s="5">
        <v>55933.923739526435</v>
      </c>
      <c r="AC181" s="5">
        <v>55949.156578181253</v>
      </c>
      <c r="AD181" s="5">
        <v>58780.364664902532</v>
      </c>
      <c r="AE181" s="5">
        <v>57918.9397175536</v>
      </c>
      <c r="AF181" s="5">
        <v>55391.16921192468</v>
      </c>
      <c r="AG181" s="5">
        <v>57151.931263827508</v>
      </c>
      <c r="AH181" s="5">
        <v>58938.480010648731</v>
      </c>
      <c r="AI181" s="5">
        <v>62847.695645000815</v>
      </c>
      <c r="AJ181" s="5">
        <v>61562.213848497326</v>
      </c>
      <c r="AK181" s="5">
        <v>67118.114607260781</v>
      </c>
      <c r="AL181" s="5">
        <v>70103.104569217219</v>
      </c>
      <c r="AM181" s="5">
        <v>73579.820757254551</v>
      </c>
      <c r="AN181" s="5">
        <v>74271.164551458249</v>
      </c>
      <c r="AO181" s="5">
        <v>73353.880084132325</v>
      </c>
      <c r="AP181" s="5">
        <v>72554.043375511217</v>
      </c>
      <c r="AQ181" s="5">
        <v>69983.812987396886</v>
      </c>
      <c r="AR181" s="5">
        <v>70599.943640017926</v>
      </c>
      <c r="AS181" s="5">
        <v>70700.528367918931</v>
      </c>
      <c r="AT181" s="5">
        <v>71517.187647651153</v>
      </c>
      <c r="AU181" s="5">
        <v>66799.132459869521</v>
      </c>
      <c r="AV181" s="5">
        <v>63747.872476373312</v>
      </c>
      <c r="AW181" s="5">
        <v>61993.999403026835</v>
      </c>
      <c r="AX181" s="5">
        <v>58146.498197901077</v>
      </c>
      <c r="AY181" s="5">
        <v>57590.61404753309</v>
      </c>
      <c r="AZ181" s="5">
        <v>55545.433270046931</v>
      </c>
      <c r="BA181" s="5">
        <v>55726.983740494637</v>
      </c>
      <c r="BB181" s="5">
        <v>55429.982719432701</v>
      </c>
      <c r="BC181" s="5">
        <v>56545.995192603055</v>
      </c>
      <c r="BD181" s="5">
        <v>58785.541415526</v>
      </c>
      <c r="BE181" s="5">
        <v>62280.265746062367</v>
      </c>
      <c r="BF181" s="5">
        <v>66714.649258449121</v>
      </c>
      <c r="BG181" s="5">
        <v>67542.479908147579</v>
      </c>
      <c r="BH181" s="5">
        <v>68174.001260132762</v>
      </c>
      <c r="BI181" s="5">
        <v>68486.723202371126</v>
      </c>
      <c r="BJ181" s="5">
        <v>70351.303858784086</v>
      </c>
      <c r="BK181" s="5">
        <v>73431.256133642266</v>
      </c>
      <c r="BL181" s="5">
        <v>74607.791768477648</v>
      </c>
      <c r="BM181" s="5">
        <v>73353.792581526999</v>
      </c>
      <c r="BN181" s="5">
        <v>70873.884571070361</v>
      </c>
      <c r="BO181" s="5">
        <v>68905.826525862329</v>
      </c>
      <c r="BP181" s="5">
        <v>66386.665182088967</v>
      </c>
      <c r="BQ181" s="5">
        <v>65199.676950824156</v>
      </c>
      <c r="BR181" s="5">
        <v>62693.344549740999</v>
      </c>
      <c r="BS181" s="5">
        <v>62474.782225819159</v>
      </c>
      <c r="BT181" s="5">
        <v>62588.923245203929</v>
      </c>
      <c r="BU181" s="5">
        <v>63059.997398571177</v>
      </c>
      <c r="BV181" s="5">
        <v>65679.545447177268</v>
      </c>
      <c r="BW181" s="5">
        <v>66722.817957016028</v>
      </c>
      <c r="BX181" s="5">
        <v>67749.784043284191</v>
      </c>
      <c r="BY181" s="5">
        <v>68878.278652468027</v>
      </c>
      <c r="BZ181" s="5">
        <v>75303.387480018078</v>
      </c>
      <c r="CA181" s="5">
        <v>77389.956426509481</v>
      </c>
    </row>
    <row r="182" spans="1:79" x14ac:dyDescent="0.2">
      <c r="A182" t="s">
        <v>282</v>
      </c>
      <c r="C182" t="s">
        <v>283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215</v>
      </c>
      <c r="J182" t="s">
        <v>215</v>
      </c>
      <c r="K182" t="s">
        <v>215</v>
      </c>
      <c r="L182" t="s">
        <v>215</v>
      </c>
      <c r="M182" t="s">
        <v>215</v>
      </c>
      <c r="N182" t="s">
        <v>215</v>
      </c>
      <c r="O182" t="s">
        <v>215</v>
      </c>
      <c r="P182" t="s">
        <v>215</v>
      </c>
      <c r="Q182" t="s">
        <v>215</v>
      </c>
      <c r="R182" t="s">
        <v>215</v>
      </c>
      <c r="S182" t="s">
        <v>215</v>
      </c>
      <c r="T182" t="s">
        <v>215</v>
      </c>
      <c r="U182" t="s">
        <v>215</v>
      </c>
      <c r="V182" t="s">
        <v>215</v>
      </c>
      <c r="W182" t="s">
        <v>215</v>
      </c>
      <c r="X182" t="s">
        <v>215</v>
      </c>
      <c r="Y182" t="s">
        <v>215</v>
      </c>
      <c r="Z182" t="s">
        <v>215</v>
      </c>
      <c r="AA182" t="s">
        <v>215</v>
      </c>
      <c r="AB182" t="s">
        <v>215</v>
      </c>
      <c r="AC182" t="s">
        <v>215</v>
      </c>
      <c r="AD182" t="s">
        <v>215</v>
      </c>
      <c r="AE182" t="s">
        <v>215</v>
      </c>
      <c r="AF182" t="s">
        <v>215</v>
      </c>
      <c r="AG182" t="s">
        <v>215</v>
      </c>
      <c r="AH182" t="s">
        <v>215</v>
      </c>
      <c r="AI182" t="s">
        <v>215</v>
      </c>
      <c r="AJ182" t="s">
        <v>215</v>
      </c>
      <c r="AK182" t="s">
        <v>215</v>
      </c>
      <c r="AL182" t="s">
        <v>215</v>
      </c>
      <c r="AM182" t="s">
        <v>215</v>
      </c>
      <c r="AN182" t="s">
        <v>215</v>
      </c>
      <c r="AO182" t="s">
        <v>215</v>
      </c>
      <c r="AP182" t="s">
        <v>215</v>
      </c>
      <c r="AQ182" t="s">
        <v>215</v>
      </c>
      <c r="AR182" t="s">
        <v>215</v>
      </c>
      <c r="AS182" t="s">
        <v>215</v>
      </c>
      <c r="AT182" t="s">
        <v>215</v>
      </c>
      <c r="AU182" t="s">
        <v>215</v>
      </c>
      <c r="AV182" t="s">
        <v>215</v>
      </c>
      <c r="AW182" t="s">
        <v>215</v>
      </c>
      <c r="AX182" t="s">
        <v>215</v>
      </c>
      <c r="AY182" t="s">
        <v>215</v>
      </c>
      <c r="AZ182" t="s">
        <v>215</v>
      </c>
      <c r="BA182" t="s">
        <v>215</v>
      </c>
      <c r="BB182" t="s">
        <v>215</v>
      </c>
      <c r="BC182" t="s">
        <v>215</v>
      </c>
      <c r="BD182" t="s">
        <v>215</v>
      </c>
      <c r="BE182" t="s">
        <v>215</v>
      </c>
      <c r="BF182" t="s">
        <v>215</v>
      </c>
      <c r="BG182" t="s">
        <v>215</v>
      </c>
      <c r="BH182" t="s">
        <v>215</v>
      </c>
      <c r="BI182" t="s">
        <v>215</v>
      </c>
      <c r="BJ182" t="s">
        <v>215</v>
      </c>
      <c r="BK182" t="s">
        <v>215</v>
      </c>
      <c r="BL182" t="s">
        <v>215</v>
      </c>
      <c r="BM182" t="s">
        <v>215</v>
      </c>
      <c r="BN182" t="s">
        <v>215</v>
      </c>
      <c r="BO182" t="s">
        <v>215</v>
      </c>
      <c r="BP182" t="s">
        <v>215</v>
      </c>
      <c r="BQ182" t="s">
        <v>215</v>
      </c>
      <c r="BR182" t="s">
        <v>215</v>
      </c>
      <c r="BS182" t="s">
        <v>215</v>
      </c>
      <c r="BT182" t="s">
        <v>215</v>
      </c>
      <c r="BU182" t="s">
        <v>215</v>
      </c>
      <c r="BV182" t="s">
        <v>215</v>
      </c>
      <c r="BW182" t="s">
        <v>215</v>
      </c>
      <c r="BX182" t="s">
        <v>215</v>
      </c>
      <c r="BY182" s="5">
        <v>983.64263586103391</v>
      </c>
      <c r="BZ182" s="5">
        <v>1273.7628618718156</v>
      </c>
      <c r="CA182" s="5">
        <v>1160.7229364692625</v>
      </c>
    </row>
    <row r="183" spans="1:79" ht="18" x14ac:dyDescent="0.2">
      <c r="A183" s="2" t="s">
        <v>26</v>
      </c>
    </row>
    <row r="184" spans="1:79" x14ac:dyDescent="0.2">
      <c r="A184" t="s">
        <v>284</v>
      </c>
      <c r="C184" t="s">
        <v>285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s="7">
        <v>82.526567806485943</v>
      </c>
      <c r="AA184" s="7">
        <v>78.530622949409945</v>
      </c>
      <c r="AB184" s="7">
        <v>83.672944776081948</v>
      </c>
      <c r="AC184" s="7">
        <v>104.41129084405392</v>
      </c>
      <c r="AD184" s="7">
        <v>56.178668163545275</v>
      </c>
      <c r="AE184" s="7">
        <v>73.378756572886815</v>
      </c>
      <c r="AF184" s="7">
        <v>95.88823977534517</v>
      </c>
      <c r="AG184" s="7">
        <v>232.91841220101333</v>
      </c>
      <c r="AH184" s="7">
        <v>303.85463440680741</v>
      </c>
      <c r="AI184" s="7">
        <v>321.78873973495041</v>
      </c>
      <c r="AJ184" s="7">
        <v>394.09438513103021</v>
      </c>
      <c r="AK184" s="7">
        <v>470.5141199738066</v>
      </c>
      <c r="AL184" s="7">
        <v>269.47272005854359</v>
      </c>
      <c r="AM184" s="7">
        <v>241.3568907982179</v>
      </c>
      <c r="AN184" s="7">
        <v>251.8894401285167</v>
      </c>
      <c r="AO184" s="7">
        <v>274.17779625011127</v>
      </c>
      <c r="AP184" s="7">
        <v>279.04722529535348</v>
      </c>
      <c r="AQ184" s="7">
        <v>323.87797985056676</v>
      </c>
      <c r="AR184" s="7">
        <v>335.50192687080875</v>
      </c>
      <c r="AS184" s="7">
        <v>364.84343987639318</v>
      </c>
      <c r="AT184" s="7">
        <v>398.28303934270042</v>
      </c>
      <c r="AU184" s="7">
        <v>423.1511030459784</v>
      </c>
      <c r="AV184" s="7">
        <v>412.6737775966136</v>
      </c>
      <c r="AW184" s="7">
        <v>417.12649660651294</v>
      </c>
      <c r="AX184" s="7">
        <v>432.71458395551082</v>
      </c>
      <c r="AY184" s="7">
        <v>461.37122471219203</v>
      </c>
      <c r="AZ184" s="7">
        <v>450.41905419458567</v>
      </c>
      <c r="BA184" s="7">
        <v>463.28456356225257</v>
      </c>
      <c r="BB184" s="7">
        <v>518.53126563263663</v>
      </c>
      <c r="BC184" s="7">
        <v>514.58855881112788</v>
      </c>
      <c r="BD184" s="7">
        <v>540.17033898071099</v>
      </c>
      <c r="BE184" s="7">
        <v>647.55494188844796</v>
      </c>
      <c r="BF184" s="7">
        <v>740.44946197606453</v>
      </c>
      <c r="BG184" s="7">
        <v>745.80168589984112</v>
      </c>
      <c r="BH184" s="5">
        <v>701.55496399575111</v>
      </c>
      <c r="BI184" s="5">
        <v>769.35195273604609</v>
      </c>
      <c r="BJ184" s="5">
        <v>833.77956530327185</v>
      </c>
      <c r="BK184" s="5">
        <v>902.38761337465132</v>
      </c>
      <c r="BL184" s="5">
        <v>1009.8324454665595</v>
      </c>
      <c r="BM184" s="5">
        <v>1007.8945498419099</v>
      </c>
      <c r="BN184" s="7">
        <v>1240.8991665866788</v>
      </c>
      <c r="BO184" s="7">
        <v>1381.3138577178054</v>
      </c>
      <c r="BP184" s="5">
        <v>1524.3024147352353</v>
      </c>
      <c r="BQ184" s="7">
        <v>1625.660290793242</v>
      </c>
      <c r="BR184" s="7">
        <v>1560.1845193547679</v>
      </c>
      <c r="BS184" s="7">
        <v>1584.7388743241459</v>
      </c>
      <c r="BT184" s="7">
        <v>1591.2803014005115</v>
      </c>
      <c r="BU184" s="7">
        <v>1553.5999877176289</v>
      </c>
      <c r="BV184" s="7">
        <v>1568.3883329572766</v>
      </c>
      <c r="BW184" s="7">
        <v>1447.9745443974084</v>
      </c>
      <c r="BX184" s="7">
        <v>1490.7315920611786</v>
      </c>
      <c r="BY184" s="7">
        <v>1599.2616389735131</v>
      </c>
      <c r="BZ184" s="7">
        <v>1622.3936170212764</v>
      </c>
      <c r="CA184" s="7">
        <v>1364.8540760080473</v>
      </c>
    </row>
    <row r="185" spans="1:79" x14ac:dyDescent="0.2">
      <c r="A185" t="s">
        <v>286</v>
      </c>
      <c r="C185" t="s">
        <v>287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s="5">
        <v>1358.5685317027398</v>
      </c>
      <c r="R185" s="5">
        <v>1949.3170379213641</v>
      </c>
      <c r="S185" s="5">
        <v>2511.5919261607114</v>
      </c>
      <c r="T185" s="5">
        <v>2512.3120874490655</v>
      </c>
      <c r="U185" s="5">
        <v>2154.954384373455</v>
      </c>
      <c r="V185" s="5">
        <v>2257.4004285886135</v>
      </c>
      <c r="W185" s="5">
        <v>2929.57669760215</v>
      </c>
      <c r="X185" s="5">
        <v>3882.7850276315917</v>
      </c>
      <c r="Y185" s="5">
        <v>4598.8048644112705</v>
      </c>
      <c r="Z185" s="5">
        <v>5167.4935106508701</v>
      </c>
      <c r="AA185" s="5">
        <v>4261.2475655285552</v>
      </c>
      <c r="AB185" s="5">
        <v>4329.5126143589223</v>
      </c>
      <c r="AC185" s="5">
        <v>5763.4544580879583</v>
      </c>
      <c r="AD185" s="5">
        <v>5465.498987194298</v>
      </c>
      <c r="AE185" s="5">
        <v>5660.6899556412545</v>
      </c>
      <c r="AF185" s="5">
        <v>6274.5164144717073</v>
      </c>
      <c r="AG185" s="5">
        <v>5103.0262110670983</v>
      </c>
      <c r="AH185" s="5">
        <v>3852.9779640072506</v>
      </c>
      <c r="AI185" s="5">
        <v>3766.000571600267</v>
      </c>
      <c r="AJ185" s="5">
        <v>4556.5093949958527</v>
      </c>
      <c r="AK185" s="5">
        <v>5038.3472907560636</v>
      </c>
      <c r="AL185" s="5">
        <v>5651.9451811091531</v>
      </c>
      <c r="AM185" s="5">
        <v>6015.280190335915</v>
      </c>
      <c r="AN185" s="5">
        <v>6027.2956502217003</v>
      </c>
      <c r="AO185" s="5">
        <v>5472.1271991534986</v>
      </c>
      <c r="AP185" s="5">
        <v>4647.7627207219202</v>
      </c>
      <c r="AQ185" s="5">
        <v>3660.6054019651251</v>
      </c>
      <c r="AR185" s="5">
        <v>2950.9765502714927</v>
      </c>
      <c r="AS185" s="5">
        <v>2906.0686638111197</v>
      </c>
      <c r="AT185" s="5">
        <v>2924.7753329780703</v>
      </c>
      <c r="AU185" s="5">
        <v>2866.3191031894935</v>
      </c>
      <c r="AV185" s="5">
        <v>2781.9971384978339</v>
      </c>
      <c r="AW185" s="5">
        <v>2917.6297046006985</v>
      </c>
      <c r="AX185" s="5">
        <v>2871.5445174942361</v>
      </c>
      <c r="AY185" s="5">
        <v>2907.7564592307112</v>
      </c>
      <c r="AZ185" s="5">
        <v>2976.346501532325</v>
      </c>
      <c r="BA185" s="5">
        <v>2996.6355263328342</v>
      </c>
      <c r="BB185" s="5">
        <v>3006.5891406341771</v>
      </c>
      <c r="BC185" s="5">
        <v>3214.0616059054728</v>
      </c>
      <c r="BD185" s="5">
        <v>3878.8516551290463</v>
      </c>
      <c r="BE185" s="5">
        <v>4379.3601492871958</v>
      </c>
      <c r="BF185" s="5">
        <v>4474.87531386513</v>
      </c>
      <c r="BG185" s="5">
        <v>4233.6805194164972</v>
      </c>
      <c r="BH185" s="5">
        <v>4225.4191145578516</v>
      </c>
      <c r="BI185" s="5">
        <v>4323.5000045231527</v>
      </c>
      <c r="BJ185" s="5">
        <v>4354.130599723163</v>
      </c>
      <c r="BK185" s="5">
        <v>4054.9313064326093</v>
      </c>
      <c r="BL185" s="5">
        <v>3935.6602571262501</v>
      </c>
      <c r="BM185" s="6">
        <v>3934.6301485572249</v>
      </c>
      <c r="BN185" s="6">
        <v>3821.0354231894453</v>
      </c>
      <c r="BO185" s="6">
        <v>3717.9282529473003</v>
      </c>
      <c r="BP185" s="6">
        <v>3685.6494203319494</v>
      </c>
      <c r="BQ185" s="6">
        <v>4023.3193889184622</v>
      </c>
      <c r="BR185" s="6">
        <v>4265.2994393340059</v>
      </c>
      <c r="BS185" s="6">
        <v>4018.4199412263988</v>
      </c>
      <c r="BT185" s="6">
        <v>3390.7541071225028</v>
      </c>
      <c r="BU185" s="6">
        <v>3331.5996068428376</v>
      </c>
      <c r="BV185" s="6">
        <v>3458.7058815188966</v>
      </c>
      <c r="BW185" s="6">
        <v>3732.6397318730324</v>
      </c>
      <c r="BX185" s="6">
        <v>4037.0737628887368</v>
      </c>
      <c r="BY185" s="6">
        <v>3898.540351707707</v>
      </c>
      <c r="BZ185" s="6">
        <v>3167.1501259135603</v>
      </c>
      <c r="CA185" s="6">
        <v>2661.2590652174395</v>
      </c>
    </row>
    <row r="186" spans="1:79" x14ac:dyDescent="0.2">
      <c r="A186" t="s">
        <v>288</v>
      </c>
      <c r="C186" t="s">
        <v>289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s="5">
        <v>271.47302703529527</v>
      </c>
      <c r="P186" s="5">
        <v>282.51398643865048</v>
      </c>
      <c r="Q186" s="5">
        <v>290.97467276768538</v>
      </c>
      <c r="R186" s="5">
        <v>339.51854882095103</v>
      </c>
      <c r="S186" s="5">
        <v>394.96936709981435</v>
      </c>
      <c r="T186" s="5">
        <v>497.46035029909478</v>
      </c>
      <c r="U186" s="5">
        <v>639.49385387116877</v>
      </c>
      <c r="V186" s="5">
        <v>813.5666088629132</v>
      </c>
      <c r="W186" s="5">
        <v>1067.3820836186444</v>
      </c>
      <c r="X186" s="5">
        <v>1333.6293136962754</v>
      </c>
      <c r="Y186" s="5">
        <v>1437.2051126062652</v>
      </c>
      <c r="Z186" s="5">
        <v>894.84625172939957</v>
      </c>
      <c r="AA186" s="5">
        <v>777.56010445879122</v>
      </c>
      <c r="AB186" s="5">
        <v>832.42760712587597</v>
      </c>
      <c r="AC186" s="5">
        <v>5770.020933984445</v>
      </c>
      <c r="AD186" s="5">
        <v>7846.0590726839764</v>
      </c>
      <c r="AE186" s="5">
        <v>8841.3828591764013</v>
      </c>
      <c r="AF186" s="5">
        <v>7403.838223613694</v>
      </c>
      <c r="AG186" s="5">
        <v>7044.8328751302006</v>
      </c>
      <c r="AH186" s="5">
        <v>3924.3418231256828</v>
      </c>
      <c r="AI186" s="5">
        <v>3181.6863318831865</v>
      </c>
      <c r="AJ186" s="5">
        <v>4733.9052104941566</v>
      </c>
      <c r="AK186" s="5">
        <v>5086.2586951178655</v>
      </c>
      <c r="AL186" s="5">
        <v>4770.6689999629198</v>
      </c>
      <c r="AM186" s="5">
        <v>4157.9046547454909</v>
      </c>
      <c r="AN186" s="5">
        <v>4344.861148606672</v>
      </c>
      <c r="AO186" s="5">
        <v>3480.2707952549258</v>
      </c>
      <c r="AP186" s="5">
        <v>3192.6934875625684</v>
      </c>
      <c r="AQ186" s="5">
        <v>2951.3637639374738</v>
      </c>
      <c r="AR186" s="5">
        <v>2182.8283918090779</v>
      </c>
      <c r="AS186" s="5">
        <v>1938.0624210669189</v>
      </c>
      <c r="AT186" s="5">
        <v>1747.3533714616135</v>
      </c>
      <c r="AU186" s="5">
        <v>1516.4801180853756</v>
      </c>
      <c r="AV186" s="5">
        <v>1775.8985698943056</v>
      </c>
      <c r="AW186" s="5">
        <v>2191.7443105283323</v>
      </c>
      <c r="AX186" s="5">
        <v>2150.0168909422655</v>
      </c>
      <c r="AY186" s="5">
        <v>2370.8762443173746</v>
      </c>
      <c r="AZ186" s="5">
        <v>2644.5757015751583</v>
      </c>
      <c r="BA186" s="5">
        <v>2646.6304156024557</v>
      </c>
      <c r="BB186" s="5">
        <v>2676.8961191208277</v>
      </c>
      <c r="BC186" s="5">
        <v>2947.1637464718756</v>
      </c>
      <c r="BD186" s="5">
        <v>3280.8176659380442</v>
      </c>
      <c r="BE186" s="5">
        <v>3531.4272435171738</v>
      </c>
      <c r="BF186" s="5">
        <v>4121.6850613920533</v>
      </c>
      <c r="BG186" s="5">
        <v>5326.2743836134341</v>
      </c>
      <c r="BH186" s="5">
        <v>6333.5744678813171</v>
      </c>
      <c r="BI186" s="5">
        <v>7583.8135139455462</v>
      </c>
      <c r="BJ186" s="5">
        <v>6973.7765476680897</v>
      </c>
      <c r="BK186" s="5">
        <v>6709.171052398071</v>
      </c>
      <c r="BL186" s="5">
        <v>7019.7571974091552</v>
      </c>
      <c r="BM186" s="5">
        <v>7142.8653602735003</v>
      </c>
      <c r="BN186" s="5">
        <v>6164.81537838654</v>
      </c>
      <c r="BO186" s="5">
        <v>6418.3060159340512</v>
      </c>
      <c r="BP186" s="5">
        <v>5168.7466035511743</v>
      </c>
      <c r="BQ186" s="5">
        <v>5153.5606233387289</v>
      </c>
      <c r="BR186" s="5">
        <v>5479.5823247472208</v>
      </c>
      <c r="BS186" s="5">
        <v>6290.7468147816144</v>
      </c>
      <c r="BT186" s="5">
        <v>7077.9281472859875</v>
      </c>
      <c r="BU186" s="5">
        <v>6289.3009702426471</v>
      </c>
      <c r="BV186" s="5">
        <v>5262.2073951475249</v>
      </c>
      <c r="BW186" s="5">
        <v>5473.1900620054166</v>
      </c>
      <c r="BX186" s="5">
        <v>6651.9589152869994</v>
      </c>
      <c r="BY186" s="5">
        <v>6995.9974850602266</v>
      </c>
      <c r="BZ186" s="5">
        <v>7390.8611363778182</v>
      </c>
      <c r="CA186" s="5">
        <v>6645.9683982087345</v>
      </c>
    </row>
    <row r="187" spans="1:79" x14ac:dyDescent="0.2">
      <c r="A187" t="s">
        <v>290</v>
      </c>
      <c r="C187" t="s">
        <v>291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s="5">
        <v>5.104368648635102E-2</v>
      </c>
      <c r="M187" s="5">
        <v>5.4932411229282545E-2</v>
      </c>
      <c r="N187" s="5">
        <v>6.4331189755309298E-2</v>
      </c>
      <c r="O187" s="5">
        <v>7.3690859409353632E-2</v>
      </c>
      <c r="P187" s="5">
        <v>7.7176940334600541E-2</v>
      </c>
      <c r="Q187" s="5">
        <v>8.2010896437072461E-2</v>
      </c>
      <c r="R187" s="5">
        <v>9.5335181422029167E-2</v>
      </c>
      <c r="S187" s="5">
        <v>0.10827159349068116</v>
      </c>
      <c r="T187" s="5">
        <v>0.13257777677582494</v>
      </c>
      <c r="U187" s="5">
        <v>0.13532879156483016</v>
      </c>
      <c r="V187" s="5">
        <v>0.13076330925437146</v>
      </c>
      <c r="W187" s="5">
        <v>0.15899239430674647</v>
      </c>
      <c r="X187" s="5">
        <v>0.19398993319175958</v>
      </c>
      <c r="Y187" s="5">
        <v>0.19827873444913624</v>
      </c>
      <c r="Z187" s="5">
        <v>0.20148204768793193</v>
      </c>
      <c r="AA187" s="5">
        <v>0.19478567861094942</v>
      </c>
      <c r="AB187" s="5">
        <v>0.24146654311041971</v>
      </c>
      <c r="AC187" s="5">
        <v>0.47464729392232374</v>
      </c>
      <c r="AD187" s="5">
        <v>0.48219961979605758</v>
      </c>
      <c r="AE187" s="5">
        <v>0.47335550980973412</v>
      </c>
      <c r="AF187" s="5">
        <v>0.49429840717335594</v>
      </c>
      <c r="AG187" s="5">
        <v>0.46740479929018364</v>
      </c>
      <c r="AH187" t="s">
        <v>6</v>
      </c>
      <c r="AI187" t="s">
        <v>6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6</v>
      </c>
      <c r="AT187" t="s">
        <v>6</v>
      </c>
      <c r="AU187" t="s">
        <v>6</v>
      </c>
      <c r="AV187" t="s">
        <v>6</v>
      </c>
      <c r="AW187" t="s">
        <v>6</v>
      </c>
      <c r="AX187" t="s">
        <v>6</v>
      </c>
      <c r="AY187" t="s">
        <v>6</v>
      </c>
      <c r="AZ187" t="s">
        <v>6</v>
      </c>
      <c r="BA187" t="s">
        <v>6</v>
      </c>
      <c r="BB187" t="s">
        <v>6</v>
      </c>
      <c r="BC187" t="s">
        <v>6</v>
      </c>
      <c r="BD187" t="s">
        <v>6</v>
      </c>
      <c r="BE187" t="s">
        <v>6</v>
      </c>
      <c r="BF187" t="s">
        <v>6</v>
      </c>
      <c r="BG187" s="6">
        <v>2140.4671971698085</v>
      </c>
      <c r="BH187" s="6">
        <v>2889.252147598374</v>
      </c>
      <c r="BI187" s="6">
        <v>2073.9890519217365</v>
      </c>
      <c r="BJ187" s="6">
        <v>3174.1334158443619</v>
      </c>
      <c r="BK187" s="6">
        <v>4195.8217436427994</v>
      </c>
      <c r="BL187" s="6">
        <v>3999.3534165066617</v>
      </c>
      <c r="BM187" s="6">
        <v>4506.8099333753025</v>
      </c>
      <c r="BN187" s="6">
        <v>4856.4050265667211</v>
      </c>
      <c r="BO187" s="6">
        <v>4415.9823314300584</v>
      </c>
      <c r="BP187" s="6">
        <v>8142.4516343853356</v>
      </c>
      <c r="BQ187" s="6">
        <v>7087.5486578689379</v>
      </c>
      <c r="BR187" s="6">
        <v>9707.5774796649875</v>
      </c>
      <c r="BS187" s="6">
        <v>6076.4281073332404</v>
      </c>
      <c r="BT187" s="6">
        <v>7547.2457920763718</v>
      </c>
      <c r="BU187" s="6">
        <v>6411.4977828455476</v>
      </c>
      <c r="BV187" s="6">
        <v>7770.8302175008785</v>
      </c>
      <c r="BW187" s="6">
        <v>5772.7326343881359</v>
      </c>
      <c r="BX187" s="6">
        <v>5559.2657429095343</v>
      </c>
      <c r="BY187" s="6">
        <v>5249.0667923620049</v>
      </c>
      <c r="BZ187" s="6">
        <v>5518.8745052830991</v>
      </c>
      <c r="CA187" s="6">
        <v>5759.1229184668382</v>
      </c>
    </row>
    <row r="188" spans="1:79" x14ac:dyDescent="0.2">
      <c r="A188" t="s">
        <v>292</v>
      </c>
      <c r="C188" t="s">
        <v>293</v>
      </c>
      <c r="D188" t="s">
        <v>6</v>
      </c>
      <c r="E188" t="s">
        <v>6</v>
      </c>
      <c r="F188" t="s">
        <v>6</v>
      </c>
      <c r="G188" s="5">
        <v>413.12388025589661</v>
      </c>
      <c r="H188" s="5">
        <v>392.63587598207283</v>
      </c>
      <c r="I188" s="5">
        <v>480.39403342119255</v>
      </c>
      <c r="J188" s="5">
        <v>668.70126502084065</v>
      </c>
      <c r="K188" s="5">
        <v>1289.3852794201459</v>
      </c>
      <c r="L188" s="5">
        <v>1139.2240750806245</v>
      </c>
      <c r="M188" s="5">
        <v>1070.7817469172526</v>
      </c>
      <c r="N188" s="5">
        <v>1135.8358229860469</v>
      </c>
      <c r="O188" s="5">
        <v>1234.5346574451255</v>
      </c>
      <c r="P188" s="5">
        <v>1469.1042723768519</v>
      </c>
      <c r="Q188" s="5">
        <v>1884.1950342616749</v>
      </c>
      <c r="R188" s="5">
        <v>2251.2424896807543</v>
      </c>
      <c r="S188" s="5">
        <v>2300.1501810266432</v>
      </c>
      <c r="T188" s="5">
        <v>2406.3927251961077</v>
      </c>
      <c r="U188" s="5">
        <v>2666.96829249759</v>
      </c>
      <c r="V188" s="5">
        <v>4345.9399817431358</v>
      </c>
      <c r="W188" s="5">
        <v>5507.041247912528</v>
      </c>
      <c r="X188" s="5">
        <v>6792.6804153771136</v>
      </c>
      <c r="Y188" s="5">
        <v>9247.2527688583432</v>
      </c>
      <c r="Z188" s="5">
        <v>9996.8247872145021</v>
      </c>
      <c r="AA188" s="5">
        <v>10136.276033090589</v>
      </c>
      <c r="AB188" s="5">
        <v>14929.926606067547</v>
      </c>
      <c r="AC188" s="5">
        <v>15313.293468063532</v>
      </c>
      <c r="AD188" s="5">
        <v>16919.045765288563</v>
      </c>
      <c r="AE188" s="5">
        <v>15646.620170347142</v>
      </c>
      <c r="AF188" s="5">
        <v>13353.314348517855</v>
      </c>
      <c r="AG188" s="5">
        <v>14511.524706189559</v>
      </c>
      <c r="AH188" s="5">
        <v>12912.762532850915</v>
      </c>
      <c r="AI188" s="5">
        <v>13685.3496718349</v>
      </c>
      <c r="AJ188" s="5">
        <v>16059.739364660409</v>
      </c>
      <c r="AK188" s="5">
        <v>14874.069221004023</v>
      </c>
      <c r="AL188" s="5">
        <v>13241.298001252371</v>
      </c>
      <c r="AM188" s="5">
        <v>14401.818262522562</v>
      </c>
      <c r="AN188" s="5">
        <v>13599.137993866023</v>
      </c>
      <c r="AO188" s="5">
        <v>12689.190173761997</v>
      </c>
      <c r="AP188" s="5">
        <v>15510.69879519176</v>
      </c>
      <c r="AQ188" s="7">
        <v>15621.334211031439</v>
      </c>
      <c r="AR188" s="7">
        <v>12347.345999254765</v>
      </c>
      <c r="AS188" s="7">
        <v>13039.641277613848</v>
      </c>
      <c r="AT188" s="7">
        <v>17714.921116863061</v>
      </c>
      <c r="AU188" s="7">
        <v>13372.46232773114</v>
      </c>
      <c r="AV188" s="7">
        <v>14705.308137859749</v>
      </c>
      <c r="AW188" s="7">
        <v>13961.616104328978</v>
      </c>
      <c r="AX188" s="7">
        <v>12972.101724643157</v>
      </c>
      <c r="AY188" s="7">
        <v>13207.065882378749</v>
      </c>
      <c r="AZ188" s="7">
        <v>13228.864800717547</v>
      </c>
      <c r="BA188" s="7">
        <v>13035.719540804657</v>
      </c>
      <c r="BB188" s="7">
        <v>12764.929155686958</v>
      </c>
      <c r="BC188" s="7">
        <v>13539.151499685424</v>
      </c>
      <c r="BD188" s="5">
        <v>14099.419991182125</v>
      </c>
      <c r="BE188" s="5">
        <v>14078.533050181499</v>
      </c>
      <c r="BF188" s="5">
        <v>13848.671744007637</v>
      </c>
      <c r="BG188" s="5">
        <v>14313.296416472378</v>
      </c>
      <c r="BH188" s="5">
        <v>14666.56842631132</v>
      </c>
      <c r="BI188" s="5">
        <v>14896.905617821509</v>
      </c>
      <c r="BJ188" s="5">
        <v>16705.813886552194</v>
      </c>
      <c r="BK188" s="5">
        <v>16924.669853366446</v>
      </c>
      <c r="BL188" s="5">
        <v>16582.062489875363</v>
      </c>
      <c r="BM188" s="5">
        <v>16702.851468914632</v>
      </c>
      <c r="BN188" s="5">
        <v>16809.577573816965</v>
      </c>
      <c r="BO188" s="5">
        <v>17136.277375942569</v>
      </c>
      <c r="BP188" s="5">
        <v>17673.274294309951</v>
      </c>
      <c r="BQ188" s="5">
        <v>19026.768343240688</v>
      </c>
      <c r="BR188" s="5">
        <v>19293.582767348063</v>
      </c>
      <c r="BS188" s="5">
        <v>20315.932377856003</v>
      </c>
      <c r="BT188" s="5">
        <v>21182.393199458493</v>
      </c>
      <c r="BU188" s="5">
        <v>21444.696162441793</v>
      </c>
      <c r="BV188" s="5">
        <v>21572.607795851629</v>
      </c>
      <c r="BW188" s="5">
        <v>22472.533631152906</v>
      </c>
      <c r="BX188" s="5">
        <v>23163.269393471895</v>
      </c>
      <c r="BY188" s="5">
        <v>22207.219622465684</v>
      </c>
      <c r="BZ188" s="5">
        <v>27498.527856852379</v>
      </c>
      <c r="CA188" s="5">
        <v>45267.123624080137</v>
      </c>
    </row>
    <row r="189" spans="1:79" x14ac:dyDescent="0.2">
      <c r="A189" t="s">
        <v>294</v>
      </c>
      <c r="C189" t="s">
        <v>0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s="7">
        <v>1008.9782794844324</v>
      </c>
      <c r="W189" s="7">
        <v>1230.8725668844177</v>
      </c>
      <c r="X189" t="s">
        <v>6</v>
      </c>
      <c r="Y189" s="7">
        <v>924.45939836072603</v>
      </c>
      <c r="Z189" s="7">
        <v>872.98760488849996</v>
      </c>
      <c r="AA189" s="7">
        <v>965.54601260900927</v>
      </c>
      <c r="AB189" s="7">
        <v>930.90415794611215</v>
      </c>
      <c r="AC189" s="7">
        <v>828.28796581372103</v>
      </c>
      <c r="AD189" s="7">
        <v>812.79885686034686</v>
      </c>
      <c r="AE189" s="7">
        <v>1233.4407747336484</v>
      </c>
      <c r="AF189" s="7">
        <v>952.22276685936174</v>
      </c>
      <c r="AG189" s="7">
        <v>959.56133242623241</v>
      </c>
      <c r="AH189" s="7">
        <v>1081.4229425399456</v>
      </c>
      <c r="AI189" s="7">
        <v>1005.7238923212466</v>
      </c>
      <c r="AJ189" s="7">
        <v>1091.9665001643482</v>
      </c>
      <c r="AK189" s="7">
        <v>1149.6533587124782</v>
      </c>
      <c r="AL189" s="7">
        <v>1174.7994199427446</v>
      </c>
      <c r="AM189" s="7">
        <v>1131.2742678153365</v>
      </c>
      <c r="AN189" s="7">
        <v>1235.7926200066129</v>
      </c>
      <c r="AO189" s="7">
        <v>1366.8615342497385</v>
      </c>
      <c r="AP189" s="7">
        <v>1369.6002945405144</v>
      </c>
      <c r="AQ189" s="7">
        <v>1290.5111274842297</v>
      </c>
      <c r="AR189" s="7">
        <v>1026.5559917881551</v>
      </c>
      <c r="AS189" s="7">
        <v>859.40312585916558</v>
      </c>
      <c r="AT189" s="7">
        <v>1095.3585852111485</v>
      </c>
      <c r="AU189" s="7">
        <v>892.60325158817318</v>
      </c>
      <c r="AV189" s="7">
        <v>936.52007415792377</v>
      </c>
      <c r="AW189" s="7">
        <v>951.44210553171843</v>
      </c>
      <c r="AX189" s="7">
        <v>684.94517480829563</v>
      </c>
      <c r="AY189" s="7">
        <v>906.5121976988404</v>
      </c>
      <c r="AZ189" s="7">
        <v>936.25804539873059</v>
      </c>
      <c r="BA189" s="7">
        <v>1014.8552705223876</v>
      </c>
      <c r="BB189" s="5">
        <v>1040.2628359610301</v>
      </c>
      <c r="BC189" s="5">
        <v>1068.3865453120791</v>
      </c>
      <c r="BD189" s="5">
        <v>1048.9431037365896</v>
      </c>
      <c r="BE189" s="5">
        <v>1016.3279661644051</v>
      </c>
      <c r="BF189" s="5">
        <v>1172.4646949908881</v>
      </c>
      <c r="BG189" s="5">
        <v>1087.7853530332952</v>
      </c>
      <c r="BH189" s="5">
        <v>1081.3836350834224</v>
      </c>
      <c r="BI189" s="5">
        <v>1182.7850231481616</v>
      </c>
      <c r="BJ189" s="5">
        <v>1661.8137578026449</v>
      </c>
      <c r="BK189" s="5">
        <v>1920.2291748144601</v>
      </c>
      <c r="BL189" s="5">
        <v>2234.5388525872318</v>
      </c>
      <c r="BM189" s="5">
        <v>2117.1040763874666</v>
      </c>
      <c r="BN189" s="5">
        <v>2080.6458851584189</v>
      </c>
      <c r="BO189" s="5">
        <v>1838.5023688515989</v>
      </c>
      <c r="BP189" s="5">
        <v>1720.674829762125</v>
      </c>
      <c r="BQ189" s="5">
        <v>1792.4820900355048</v>
      </c>
      <c r="BR189" s="5">
        <v>1885.4605434958025</v>
      </c>
      <c r="BS189" s="5">
        <v>2082.0577826382919</v>
      </c>
      <c r="BT189" s="5">
        <v>2208.999742395969</v>
      </c>
      <c r="BU189" s="5">
        <v>2134.2919270848561</v>
      </c>
      <c r="BV189" s="5">
        <v>2198.6214995127407</v>
      </c>
      <c r="BW189" s="5">
        <v>2216.9856023072448</v>
      </c>
      <c r="BX189" s="5">
        <v>2316.1210834294484</v>
      </c>
      <c r="BY189" s="5">
        <v>2383.2460533416279</v>
      </c>
      <c r="BZ189" s="5">
        <v>2450.2391030452545</v>
      </c>
      <c r="CA189" s="5">
        <v>2507.1796535950371</v>
      </c>
    </row>
    <row r="190" spans="1:79" x14ac:dyDescent="0.2">
      <c r="A190" t="s">
        <v>295</v>
      </c>
      <c r="C190" t="s">
        <v>296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s="7">
        <v>697.5190522282054</v>
      </c>
      <c r="AB190" s="7">
        <v>874.12193871232773</v>
      </c>
      <c r="AC190" s="7">
        <v>2387.6870827233124</v>
      </c>
      <c r="AD190" t="s">
        <v>6</v>
      </c>
      <c r="AE190" t="s">
        <v>6</v>
      </c>
      <c r="AF190" s="5">
        <v>3268.7278553809406</v>
      </c>
      <c r="AG190" s="5">
        <v>2846.1617687674357</v>
      </c>
      <c r="AH190" s="5">
        <v>3189.1546179819666</v>
      </c>
      <c r="AI190" s="5">
        <v>3147.8763152942247</v>
      </c>
      <c r="AJ190" s="5">
        <v>3313.8162114916463</v>
      </c>
      <c r="AK190" s="5">
        <v>3916.1413495094962</v>
      </c>
      <c r="AL190" s="5">
        <v>4199.5800563350294</v>
      </c>
      <c r="AM190" s="5">
        <v>4335.5160344666374</v>
      </c>
      <c r="AN190" s="5">
        <v>4084.8318613707979</v>
      </c>
      <c r="AO190" s="5">
        <v>3670.8717757085392</v>
      </c>
      <c r="AP190" s="5">
        <v>3608.2463474914475</v>
      </c>
      <c r="AQ190" s="5">
        <v>4539.3185361485921</v>
      </c>
      <c r="AR190" s="5">
        <v>5634.9850469890225</v>
      </c>
      <c r="AS190" s="5">
        <v>21741.443331780214</v>
      </c>
      <c r="AT190" s="5">
        <v>28334.058882662277</v>
      </c>
      <c r="AU190" s="5">
        <v>14361.041666316052</v>
      </c>
      <c r="AV190" s="5">
        <v>6948.4456515128468</v>
      </c>
      <c r="AW190" s="5">
        <v>7371.8699212380652</v>
      </c>
      <c r="AX190" s="5">
        <v>8085.078725512426</v>
      </c>
      <c r="AY190" s="5">
        <v>6875.9289294929813</v>
      </c>
      <c r="AZ190" s="5">
        <v>5238.993766395789</v>
      </c>
      <c r="BA190" s="5">
        <v>4887.8467387242736</v>
      </c>
      <c r="BB190" s="5">
        <v>4749.3175654936258</v>
      </c>
      <c r="BC190" s="5">
        <v>5544.9736664810798</v>
      </c>
      <c r="BD190" s="5">
        <v>5449.5546333899229</v>
      </c>
      <c r="BE190" s="5">
        <v>5623.441718542821</v>
      </c>
      <c r="BF190" s="5">
        <v>6060.3061369188117</v>
      </c>
      <c r="BG190" s="5">
        <v>6522.8625362591129</v>
      </c>
      <c r="BH190" s="5">
        <v>6312.6540408043675</v>
      </c>
      <c r="BI190" s="5">
        <v>6240.4658103495667</v>
      </c>
      <c r="BJ190" s="5">
        <v>6628.5580301097471</v>
      </c>
      <c r="BK190" s="5">
        <v>6103.100792285104</v>
      </c>
      <c r="BL190" s="5">
        <v>5933.3647645399697</v>
      </c>
      <c r="BM190" s="5">
        <v>5824.5491550096294</v>
      </c>
      <c r="BN190" s="5">
        <v>6655.6460055580164</v>
      </c>
      <c r="BO190" s="5">
        <v>7202.5652779973489</v>
      </c>
      <c r="BP190" s="5">
        <v>6814.6233680147388</v>
      </c>
      <c r="BQ190" s="5">
        <v>6801.2856569064252</v>
      </c>
      <c r="BR190" s="5">
        <v>6850.3016432801342</v>
      </c>
      <c r="BS190" s="5">
        <v>7491.1613717098408</v>
      </c>
      <c r="BT190" s="5">
        <v>7726.248253721028</v>
      </c>
      <c r="BU190" s="5">
        <v>8108.5222315762094</v>
      </c>
      <c r="BV190" s="5">
        <v>8299.9495988651925</v>
      </c>
      <c r="BW190" s="5">
        <v>7727.8199512501524</v>
      </c>
      <c r="BX190" s="5">
        <v>9524.8003639458366</v>
      </c>
      <c r="BY190" s="5">
        <v>8516.1952490013118</v>
      </c>
      <c r="BZ190" s="5">
        <v>7755.031935627665</v>
      </c>
      <c r="CA190" s="5">
        <v>7555.3044482205742</v>
      </c>
    </row>
    <row r="191" spans="1:79" x14ac:dyDescent="0.2">
      <c r="A191" t="s">
        <v>297</v>
      </c>
      <c r="C191" t="s">
        <v>2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  <c r="AG191" t="s">
        <v>6</v>
      </c>
      <c r="AH191" t="s">
        <v>6</v>
      </c>
      <c r="AI191" s="7">
        <v>1990.2937300955341</v>
      </c>
      <c r="AJ191" s="7">
        <v>1565.2664061092014</v>
      </c>
      <c r="AK191" s="7">
        <v>950.14221384252983</v>
      </c>
      <c r="AL191" s="7">
        <v>1691.5506017153386</v>
      </c>
      <c r="AM191" s="7">
        <v>1993.4151708888155</v>
      </c>
      <c r="AN191" s="7">
        <v>1422.500220813788</v>
      </c>
      <c r="AO191" s="7">
        <v>1109.5091055531029</v>
      </c>
      <c r="AP191" s="7">
        <v>276.17611452524358</v>
      </c>
      <c r="AQ191" s="7">
        <v>209.7548218657922</v>
      </c>
      <c r="AR191" t="s">
        <v>6</v>
      </c>
      <c r="AS191" s="7">
        <v>667.81937745721734</v>
      </c>
      <c r="AT191" s="7">
        <v>635.96429203920309</v>
      </c>
      <c r="AU191" s="7">
        <v>1133.0283194351068</v>
      </c>
      <c r="AV191" s="7">
        <v>944.75232573548885</v>
      </c>
      <c r="AW191" s="7">
        <v>1185.1495103466641</v>
      </c>
      <c r="AX191" s="7">
        <v>1214.1421514731808</v>
      </c>
      <c r="AY191" s="7">
        <v>1065.3613949205444</v>
      </c>
      <c r="AZ191" s="7">
        <v>892.9670708230642</v>
      </c>
      <c r="BA191" s="5">
        <v>860.65397822898115</v>
      </c>
      <c r="BB191" s="5">
        <v>1020.9954166862721</v>
      </c>
      <c r="BC191" s="5">
        <v>1148.3234668757884</v>
      </c>
      <c r="BD191" s="5">
        <v>1187.9030494395438</v>
      </c>
      <c r="BE191" s="5">
        <v>1105.1551282818086</v>
      </c>
      <c r="BF191" s="5">
        <v>1110.4662818389636</v>
      </c>
      <c r="BG191" s="5">
        <v>1129.0846287915933</v>
      </c>
      <c r="BH191" s="7">
        <v>1146.728919368471</v>
      </c>
      <c r="BI191" s="7">
        <v>1138.6407073158462</v>
      </c>
      <c r="BJ191" s="7">
        <v>1249.6315663816451</v>
      </c>
      <c r="BK191" s="5">
        <v>1145.1382495008568</v>
      </c>
      <c r="BL191" s="5">
        <v>1380.0248416865199</v>
      </c>
      <c r="BM191" s="7">
        <v>1475.3056302000473</v>
      </c>
      <c r="BN191" s="5">
        <v>1441.8936215595149</v>
      </c>
      <c r="BO191" s="5">
        <v>1461.547683802509</v>
      </c>
      <c r="BP191" s="7">
        <v>1535.9678117736883</v>
      </c>
      <c r="BQ191" s="7">
        <v>1768.4703494786754</v>
      </c>
      <c r="BR191" s="7">
        <v>1812.5479582594653</v>
      </c>
      <c r="BS191" s="7">
        <v>2126.2814170446863</v>
      </c>
      <c r="BT191" s="7">
        <v>1908.8776111979496</v>
      </c>
      <c r="BU191" s="7">
        <v>2046.0963514827006</v>
      </c>
      <c r="BV191" s="7">
        <v>1804.3932251558906</v>
      </c>
      <c r="BW191" s="7">
        <v>743.83898757152281</v>
      </c>
      <c r="BX191" s="7">
        <v>290.93247041926435</v>
      </c>
      <c r="BY191" s="7">
        <v>246.46475301637298</v>
      </c>
      <c r="BZ191" s="7">
        <v>286.21731780181096</v>
      </c>
      <c r="CA191" s="7">
        <v>453.0084749487151</v>
      </c>
    </row>
    <row r="192" spans="1:79" x14ac:dyDescent="0.2">
      <c r="A192" t="s">
        <v>298</v>
      </c>
      <c r="C192" t="s">
        <v>299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s="7">
        <v>375.36957584616329</v>
      </c>
      <c r="AA192" s="7">
        <v>631.57571310848903</v>
      </c>
      <c r="AB192" s="7">
        <v>680.31439100654427</v>
      </c>
      <c r="AC192" s="7">
        <v>727.13202597555426</v>
      </c>
      <c r="AD192" s="7">
        <v>1502.5684467156859</v>
      </c>
      <c r="AE192" s="7">
        <v>1607.8076434215095</v>
      </c>
      <c r="AF192" s="7">
        <v>1542.1491139069396</v>
      </c>
      <c r="AG192" s="7">
        <v>2025.7747596685695</v>
      </c>
      <c r="AH192" s="7">
        <v>1582.1365198379826</v>
      </c>
      <c r="AI192" s="7">
        <v>1581.8496916474594</v>
      </c>
      <c r="AJ192" s="7">
        <v>1906.7869792214526</v>
      </c>
      <c r="AK192" s="7">
        <v>2069.7791732221722</v>
      </c>
      <c r="AL192" s="7">
        <v>2441.0336175446978</v>
      </c>
      <c r="AM192" s="7">
        <v>2858.7326554731658</v>
      </c>
      <c r="AN192" s="7">
        <v>3046.4676776139713</v>
      </c>
      <c r="AO192" s="7">
        <v>2526.2237174489974</v>
      </c>
      <c r="AP192" s="7">
        <v>2163.1182339763936</v>
      </c>
      <c r="AQ192" s="7">
        <v>2147.5134774339349</v>
      </c>
      <c r="AR192" s="7">
        <v>2156.0801039610019</v>
      </c>
      <c r="AS192" s="7">
        <v>2422.2708630567067</v>
      </c>
      <c r="AT192" s="7">
        <v>2006.8972688764027</v>
      </c>
      <c r="AU192" s="7">
        <v>2403.5162263410894</v>
      </c>
      <c r="AV192" s="7">
        <v>2255.5256089467071</v>
      </c>
      <c r="AW192" s="7">
        <v>2396.8094021362008</v>
      </c>
      <c r="AX192" s="7">
        <v>2414.2622543198308</v>
      </c>
      <c r="AY192" s="7">
        <v>2280.7118960869411</v>
      </c>
      <c r="AZ192" s="7">
        <v>2360.398072682528</v>
      </c>
      <c r="BA192" s="7">
        <v>2090.4780892734043</v>
      </c>
      <c r="BB192" s="7">
        <v>2114.9255637748715</v>
      </c>
      <c r="BC192" s="7">
        <v>2518.6822915715607</v>
      </c>
      <c r="BD192" s="7">
        <v>2930.1010333291174</v>
      </c>
      <c r="BE192" s="7">
        <v>3016.7340206511467</v>
      </c>
      <c r="BF192" s="7">
        <v>3172.2156412019399</v>
      </c>
      <c r="BG192" s="7">
        <v>3570.9333726776845</v>
      </c>
      <c r="BH192" s="7">
        <v>4302.4959322122477</v>
      </c>
      <c r="BI192" s="7">
        <v>4585.4507580960208</v>
      </c>
      <c r="BJ192" s="7">
        <v>4651.0214284075801</v>
      </c>
      <c r="BK192" s="7">
        <v>4416.7536974736322</v>
      </c>
      <c r="BL192" s="7">
        <v>4151.5696592304939</v>
      </c>
      <c r="BM192" s="7">
        <v>4383.4790603882884</v>
      </c>
      <c r="BN192" s="7">
        <v>5738.6652360332901</v>
      </c>
      <c r="BO192" s="7">
        <v>10311.794069971651</v>
      </c>
      <c r="BP192" s="7">
        <v>9670.7952389755064</v>
      </c>
      <c r="BQ192" s="7">
        <v>8969.2673509485157</v>
      </c>
      <c r="BR192" s="7">
        <v>8221.3598121241321</v>
      </c>
      <c r="BS192" s="7">
        <v>8565.4958261028369</v>
      </c>
      <c r="BT192" s="7">
        <v>7226.879827841738</v>
      </c>
      <c r="BU192" s="7">
        <v>7966.9067412673776</v>
      </c>
      <c r="BV192" s="7">
        <v>6865.0903494487357</v>
      </c>
      <c r="BW192" s="7">
        <v>6413.9973004560006</v>
      </c>
      <c r="BX192" s="7">
        <v>5984.9284678933745</v>
      </c>
      <c r="BY192" s="7">
        <v>5838.4734380045966</v>
      </c>
      <c r="BZ192" s="7">
        <v>5851.7555266579975</v>
      </c>
      <c r="CA192" s="7">
        <v>5911.4342011354738</v>
      </c>
    </row>
    <row r="193" spans="1:79" x14ac:dyDescent="0.2">
      <c r="A193" t="s">
        <v>300</v>
      </c>
      <c r="C193" t="s">
        <v>301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t="s">
        <v>6</v>
      </c>
      <c r="AI193" s="5">
        <v>2317.5788897568664</v>
      </c>
      <c r="AJ193" s="5">
        <v>3651.769856744258</v>
      </c>
      <c r="AK193" s="5">
        <v>4784.4261983768756</v>
      </c>
      <c r="AL193" s="5">
        <v>2872.8366935631766</v>
      </c>
      <c r="AM193" s="5">
        <v>2746.2332263769704</v>
      </c>
      <c r="AN193" s="5">
        <v>4709.1418269405822</v>
      </c>
      <c r="AO193" t="s">
        <v>6</v>
      </c>
      <c r="AP193" s="5">
        <v>2576.3640141545525</v>
      </c>
      <c r="AQ193" s="5">
        <v>2796.3953052706402</v>
      </c>
      <c r="AR193" s="5">
        <v>2337.6197793656524</v>
      </c>
      <c r="AS193" s="5">
        <v>2115.2659546605796</v>
      </c>
      <c r="AT193" s="5">
        <v>2294.3370514098524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6</v>
      </c>
      <c r="BB193" t="s">
        <v>6</v>
      </c>
      <c r="BC193" t="s">
        <v>6</v>
      </c>
      <c r="BD193" t="s">
        <v>6</v>
      </c>
      <c r="BE193" s="7">
        <v>1529.2256388399767</v>
      </c>
      <c r="BF193" s="7">
        <v>1541.788596743696</v>
      </c>
      <c r="BG193" s="5">
        <v>1421.0871467683785</v>
      </c>
      <c r="BH193" s="5">
        <v>1500.6570859233655</v>
      </c>
      <c r="BI193" s="5">
        <v>1611.3289064733815</v>
      </c>
      <c r="BJ193" s="5">
        <v>2076.3153111591696</v>
      </c>
      <c r="BK193" s="5">
        <v>2677.2086441554043</v>
      </c>
      <c r="BL193" s="5">
        <v>2365.8196557531642</v>
      </c>
      <c r="BM193" s="5">
        <v>2335.5286919796995</v>
      </c>
      <c r="BN193" t="s">
        <v>6</v>
      </c>
      <c r="BO193" t="s">
        <v>6</v>
      </c>
      <c r="BP193" t="s">
        <v>6</v>
      </c>
      <c r="BQ193" t="s">
        <v>6</v>
      </c>
      <c r="BR193" t="s">
        <v>6</v>
      </c>
      <c r="BS193" t="s">
        <v>6</v>
      </c>
      <c r="BT193" t="s">
        <v>6</v>
      </c>
      <c r="BU193" t="s">
        <v>6</v>
      </c>
      <c r="BV193" t="s">
        <v>6</v>
      </c>
      <c r="BW193" t="s">
        <v>6</v>
      </c>
      <c r="BX193" s="5">
        <v>12541.070654449351</v>
      </c>
      <c r="BY193" s="5">
        <v>15878.711836402663</v>
      </c>
      <c r="BZ193" t="s">
        <v>6</v>
      </c>
      <c r="CA193" t="s">
        <v>6</v>
      </c>
    </row>
    <row r="194" spans="1:79" x14ac:dyDescent="0.2">
      <c r="A194" t="s">
        <v>302</v>
      </c>
      <c r="C194" t="s">
        <v>303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s="5">
        <v>906.15894960728906</v>
      </c>
      <c r="S194" s="5">
        <v>957.22864011098727</v>
      </c>
      <c r="T194" s="5">
        <v>1371.9688132191957</v>
      </c>
      <c r="U194" s="5">
        <v>2283.2272168180907</v>
      </c>
      <c r="V194" s="5">
        <v>2502.5834867657973</v>
      </c>
      <c r="W194" s="5">
        <v>2481.3534118873804</v>
      </c>
      <c r="X194" s="5">
        <v>3039.4068242410794</v>
      </c>
      <c r="Y194" s="5">
        <v>3332.3888399268517</v>
      </c>
      <c r="Z194" s="5">
        <v>3960.7530010707051</v>
      </c>
      <c r="AA194" s="5">
        <v>5556.9140730276267</v>
      </c>
      <c r="AB194" s="5">
        <v>7175.6061953481303</v>
      </c>
      <c r="AC194" t="s">
        <v>6</v>
      </c>
      <c r="AD194" t="s">
        <v>6</v>
      </c>
      <c r="AE194" t="s">
        <v>6</v>
      </c>
      <c r="AF194" s="5">
        <v>21083.372879701117</v>
      </c>
      <c r="AG194" s="5">
        <v>23904.452211280935</v>
      </c>
      <c r="AH194" s="5">
        <v>30726.983149455918</v>
      </c>
      <c r="AI194" s="5">
        <v>34348.698741593755</v>
      </c>
      <c r="AJ194" s="5">
        <v>39998.730980433276</v>
      </c>
      <c r="AK194" s="5">
        <v>44562.660151299453</v>
      </c>
      <c r="AL194" s="5">
        <v>36182.357715859122</v>
      </c>
      <c r="AM194" s="5">
        <v>38860.089704713529</v>
      </c>
      <c r="AN194" s="5">
        <v>32090.232505366686</v>
      </c>
      <c r="AO194" t="s">
        <v>6</v>
      </c>
      <c r="AP194" s="5">
        <v>28550.272870165471</v>
      </c>
      <c r="AQ194" s="5">
        <v>26130.254278510445</v>
      </c>
      <c r="AR194" s="5">
        <v>24691.890193597163</v>
      </c>
      <c r="AS194" s="7">
        <v>31030.114137126377</v>
      </c>
      <c r="AT194" s="7">
        <v>29591.622177118898</v>
      </c>
      <c r="AU194" s="5">
        <v>27812.440266838828</v>
      </c>
      <c r="AV194" s="5">
        <v>29476.5443791504</v>
      </c>
      <c r="AW194" s="5">
        <v>25442.229918729463</v>
      </c>
      <c r="AX194" s="5">
        <v>22427.098601849972</v>
      </c>
      <c r="AY194" s="5">
        <v>22390.873864054458</v>
      </c>
      <c r="AZ194" s="5">
        <v>30407.802185033052</v>
      </c>
      <c r="BA194" s="5">
        <v>35126.112536743101</v>
      </c>
      <c r="BB194" s="5">
        <v>31263.625730589119</v>
      </c>
      <c r="BC194" s="5">
        <v>34457.259389676234</v>
      </c>
      <c r="BD194" s="5">
        <v>36702.319051498293</v>
      </c>
      <c r="BE194" s="5">
        <v>32215.615295157928</v>
      </c>
      <c r="BF194" s="5">
        <v>32444.631677052374</v>
      </c>
      <c r="BG194" s="5">
        <v>36002.240384401921</v>
      </c>
      <c r="BH194" s="5">
        <v>43476.054622620366</v>
      </c>
      <c r="BI194" s="5">
        <v>49525.376940323113</v>
      </c>
      <c r="BJ194" s="5">
        <v>57047.107271121422</v>
      </c>
      <c r="BK194" s="5">
        <v>55990.189350051231</v>
      </c>
      <c r="BL194" s="5">
        <v>57539.622542803583</v>
      </c>
      <c r="BM194" s="5">
        <v>59887.641406169627</v>
      </c>
      <c r="BN194" s="5">
        <v>60701.087527250784</v>
      </c>
      <c r="BO194" s="5">
        <v>68696.860544079682</v>
      </c>
      <c r="BP194" s="5">
        <v>78710.461654014158</v>
      </c>
      <c r="BQ194" s="5">
        <v>92775.257814549972</v>
      </c>
      <c r="BR194" s="5">
        <v>98960.633764557992</v>
      </c>
      <c r="BS194" s="7">
        <v>70807.155269196097</v>
      </c>
      <c r="BT194" s="7">
        <v>78949.87235423211</v>
      </c>
      <c r="BU194" s="7">
        <v>81666.234711111334</v>
      </c>
      <c r="BV194" s="7">
        <v>73071.798424804016</v>
      </c>
      <c r="BW194" s="7">
        <v>69768.817864665951</v>
      </c>
      <c r="BX194" s="7">
        <v>66265.126604342411</v>
      </c>
      <c r="BY194" s="7">
        <v>72570.368812228378</v>
      </c>
      <c r="BZ194" s="7">
        <v>77765.333333333343</v>
      </c>
      <c r="CA194" s="7">
        <v>78953.627231067163</v>
      </c>
    </row>
    <row r="195" spans="1:79" x14ac:dyDescent="0.2">
      <c r="A195" t="s">
        <v>304</v>
      </c>
      <c r="C195" t="s">
        <v>2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  <c r="AG195" t="s">
        <v>6</v>
      </c>
      <c r="AH195" t="s">
        <v>6</v>
      </c>
      <c r="AI195" t="s">
        <v>6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6</v>
      </c>
      <c r="AT195" t="s">
        <v>6</v>
      </c>
      <c r="AU195" t="s">
        <v>6</v>
      </c>
      <c r="AV195" t="s">
        <v>6</v>
      </c>
      <c r="AW195" t="s">
        <v>6</v>
      </c>
      <c r="AX195" t="s">
        <v>6</v>
      </c>
      <c r="AY195" t="s">
        <v>6</v>
      </c>
      <c r="AZ195" t="s">
        <v>6</v>
      </c>
      <c r="BA195" t="s">
        <v>6</v>
      </c>
      <c r="BB195" t="s">
        <v>6</v>
      </c>
      <c r="BC195" t="s">
        <v>6</v>
      </c>
      <c r="BD195" t="s">
        <v>6</v>
      </c>
      <c r="BE195" t="s">
        <v>6</v>
      </c>
      <c r="BF195" t="s">
        <v>6</v>
      </c>
      <c r="BG195" t="s">
        <v>6</v>
      </c>
      <c r="BH195" t="s">
        <v>6</v>
      </c>
      <c r="BI195" t="s">
        <v>6</v>
      </c>
      <c r="BJ195" t="s">
        <v>6</v>
      </c>
      <c r="BK195" t="s">
        <v>6</v>
      </c>
      <c r="BL195" t="s">
        <v>6</v>
      </c>
      <c r="BM195" t="s">
        <v>6</v>
      </c>
      <c r="BN195" t="s">
        <v>6</v>
      </c>
      <c r="BO195" t="s">
        <v>6</v>
      </c>
      <c r="BP195" t="s">
        <v>6</v>
      </c>
      <c r="BQ195" t="s">
        <v>6</v>
      </c>
      <c r="BR195" t="s">
        <v>6</v>
      </c>
      <c r="BS195" t="s">
        <v>6</v>
      </c>
      <c r="BT195" t="s">
        <v>6</v>
      </c>
      <c r="BU195" t="s">
        <v>6</v>
      </c>
      <c r="BV195" t="s">
        <v>6</v>
      </c>
      <c r="BW195" t="s">
        <v>6</v>
      </c>
      <c r="BX195" t="s">
        <v>6</v>
      </c>
      <c r="BY195" t="s">
        <v>6</v>
      </c>
      <c r="BZ195" t="s">
        <v>6</v>
      </c>
      <c r="CA195" t="s">
        <v>6</v>
      </c>
    </row>
    <row r="196" spans="1:79" x14ac:dyDescent="0.2">
      <c r="A196" t="s">
        <v>305</v>
      </c>
      <c r="C196" t="s">
        <v>4</v>
      </c>
      <c r="D196" t="s">
        <v>6</v>
      </c>
      <c r="E196" t="s">
        <v>6</v>
      </c>
      <c r="F196" t="s">
        <v>6</v>
      </c>
      <c r="G196" t="s">
        <v>6</v>
      </c>
      <c r="H196" s="5">
        <v>1014.1844940667581</v>
      </c>
      <c r="I196" s="5">
        <v>1025.7353688477724</v>
      </c>
      <c r="J196" s="5">
        <v>1037.2542537873508</v>
      </c>
      <c r="K196" s="5">
        <v>960.35734587609215</v>
      </c>
      <c r="L196" s="5">
        <v>892.26780468406253</v>
      </c>
      <c r="M196" s="5">
        <v>866.69326004145387</v>
      </c>
      <c r="N196" s="5">
        <v>1031.3719339331692</v>
      </c>
      <c r="O196" s="5">
        <v>1137.2819862467816</v>
      </c>
      <c r="P196" s="5">
        <v>1278.7186487505685</v>
      </c>
      <c r="Q196" s="5">
        <v>1361.9230712695125</v>
      </c>
      <c r="R196" s="5">
        <v>1399.3577482901337</v>
      </c>
      <c r="S196" s="5">
        <v>1500.8156575490584</v>
      </c>
      <c r="T196" s="5">
        <v>1572.4315479794745</v>
      </c>
      <c r="U196" s="5">
        <v>1575.7088240191488</v>
      </c>
      <c r="V196" s="5">
        <v>1697.6700991982068</v>
      </c>
      <c r="W196" s="5">
        <v>1898.0071813441475</v>
      </c>
      <c r="X196" s="5">
        <v>1840.0793930356465</v>
      </c>
      <c r="Y196" s="5">
        <v>2041.0711251786311</v>
      </c>
      <c r="Z196" s="5">
        <v>2338.8668333326787</v>
      </c>
      <c r="AA196" s="5">
        <v>2458.2845130760206</v>
      </c>
      <c r="AB196" s="5">
        <v>2606.4325995215527</v>
      </c>
      <c r="AC196" s="5">
        <v>2922.2302286984414</v>
      </c>
      <c r="AD196" s="5">
        <v>5110.3015537386109</v>
      </c>
      <c r="AE196" s="5">
        <v>5369.0695064652382</v>
      </c>
      <c r="AF196" s="5">
        <v>5169.6577167027672</v>
      </c>
      <c r="AG196" s="5">
        <v>4733.856129693776</v>
      </c>
      <c r="AH196" s="5">
        <v>4200.285142190879</v>
      </c>
      <c r="AI196" s="5">
        <v>4353.4237068102539</v>
      </c>
      <c r="AJ196" s="5">
        <v>4911.7010530771513</v>
      </c>
      <c r="AK196" s="5">
        <v>5369.5486434472768</v>
      </c>
      <c r="AL196" s="5">
        <v>5080.4639298908132</v>
      </c>
      <c r="AM196" s="5">
        <v>4938.8143787358222</v>
      </c>
      <c r="AN196" s="5">
        <v>5239.6464402999636</v>
      </c>
      <c r="AO196" s="5">
        <v>5887.1356740758765</v>
      </c>
      <c r="AP196" s="5">
        <v>5622.3894132855448</v>
      </c>
      <c r="AQ196" s="5">
        <v>4952.2331253937864</v>
      </c>
      <c r="AR196" s="5">
        <v>5730.0033654467379</v>
      </c>
      <c r="AS196" s="5">
        <v>6923.8343836942076</v>
      </c>
      <c r="AT196" s="5">
        <v>7117.4962411513025</v>
      </c>
      <c r="AU196" s="5">
        <v>7486.4931807495041</v>
      </c>
      <c r="AV196" s="5">
        <v>8277.2478938383902</v>
      </c>
      <c r="AW196" s="5">
        <v>8092.5557309056685</v>
      </c>
      <c r="AX196" s="5">
        <v>8313.6356456271042</v>
      </c>
      <c r="AY196" s="5">
        <v>9304.411812487655</v>
      </c>
      <c r="AZ196" s="5">
        <v>9697.1291360944015</v>
      </c>
      <c r="BA196" s="5">
        <v>10160.982936415756</v>
      </c>
      <c r="BB196" s="5">
        <v>11219.242374336905</v>
      </c>
      <c r="BC196" s="5">
        <v>10857.719316332794</v>
      </c>
      <c r="BD196" s="5">
        <v>9953.4995453589818</v>
      </c>
      <c r="BE196" s="5">
        <v>10590.505207828079</v>
      </c>
      <c r="BF196" s="5">
        <v>9848.7590474813423</v>
      </c>
      <c r="BG196" s="5">
        <v>9152.466221618075</v>
      </c>
      <c r="BH196" s="5">
        <v>8821.3233061599003</v>
      </c>
      <c r="BI196" s="5">
        <v>9233.9687820945528</v>
      </c>
      <c r="BJ196" s="5">
        <v>8903.6052646600401</v>
      </c>
      <c r="BK196" s="5">
        <v>9031.7751497454537</v>
      </c>
      <c r="BL196" s="5">
        <v>9664.0849373516048</v>
      </c>
      <c r="BM196" s="5">
        <v>9493.1145149531185</v>
      </c>
      <c r="BN196" s="5">
        <v>9574.547477661481</v>
      </c>
      <c r="BO196" s="5">
        <v>9809.5255090173832</v>
      </c>
      <c r="BP196" s="5">
        <v>10074.223220608139</v>
      </c>
      <c r="BQ196" s="5">
        <v>10147.729110544289</v>
      </c>
      <c r="BR196" s="5">
        <v>10442.04707977235</v>
      </c>
      <c r="BS196" s="5">
        <v>12242.601720954835</v>
      </c>
      <c r="BT196" s="5">
        <v>13140.21268084131</v>
      </c>
      <c r="BU196" s="5">
        <v>16678.568582280128</v>
      </c>
      <c r="BV196" s="5">
        <v>17729.790546261265</v>
      </c>
      <c r="BW196" s="5">
        <v>15070.378798030746</v>
      </c>
      <c r="BX196" s="5">
        <v>15333.864750175402</v>
      </c>
      <c r="BY196" s="5">
        <v>16429.033296339163</v>
      </c>
      <c r="BZ196" s="5">
        <v>19577.831923543668</v>
      </c>
      <c r="CA196" s="5">
        <v>21884.408730506595</v>
      </c>
    </row>
    <row r="197" spans="1:79" x14ac:dyDescent="0.2">
      <c r="A197" t="s">
        <v>306</v>
      </c>
      <c r="C197" t="s">
        <v>307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6</v>
      </c>
      <c r="AT197" t="s">
        <v>6</v>
      </c>
      <c r="AU197" t="s">
        <v>6</v>
      </c>
      <c r="AV197" t="s">
        <v>6</v>
      </c>
      <c r="AW197" t="s">
        <v>6</v>
      </c>
      <c r="AX197" t="s">
        <v>6</v>
      </c>
      <c r="AY197" t="s">
        <v>6</v>
      </c>
      <c r="AZ197" s="7">
        <v>7556.54799472579</v>
      </c>
      <c r="BA197" s="7">
        <v>8910.4154020115529</v>
      </c>
      <c r="BB197" s="7">
        <v>9211.8616123958636</v>
      </c>
      <c r="BC197" s="7">
        <v>12616.733816298556</v>
      </c>
      <c r="BD197" s="7">
        <v>12110.44094536022</v>
      </c>
      <c r="BE197" s="7">
        <v>10866.265485821832</v>
      </c>
      <c r="BF197" s="7">
        <v>11483.446041646755</v>
      </c>
      <c r="BG197" s="7">
        <v>12772.610377374231</v>
      </c>
      <c r="BH197" s="7">
        <v>11652.233253402317</v>
      </c>
      <c r="BI197" s="7">
        <v>11568.241832716663</v>
      </c>
      <c r="BJ197" s="7">
        <v>12292.063291658116</v>
      </c>
      <c r="BK197" s="7">
        <v>14973.814419758462</v>
      </c>
      <c r="BL197" s="7">
        <v>17629.007610714121</v>
      </c>
      <c r="BM197" s="7">
        <v>22108.712055887612</v>
      </c>
      <c r="BN197" s="7">
        <v>24016.202277326676</v>
      </c>
      <c r="BO197" s="7">
        <v>23662.105509046127</v>
      </c>
      <c r="BP197" s="7">
        <v>28985.925723296794</v>
      </c>
      <c r="BQ197" s="7">
        <v>27352.579718317782</v>
      </c>
      <c r="BR197" t="s">
        <v>6</v>
      </c>
      <c r="BS197" t="s">
        <v>6</v>
      </c>
      <c r="BT197" t="s">
        <v>6</v>
      </c>
      <c r="BU197" t="s">
        <v>6</v>
      </c>
      <c r="BV197" t="s">
        <v>6</v>
      </c>
      <c r="BW197" t="s">
        <v>6</v>
      </c>
      <c r="BX197" t="s">
        <v>6</v>
      </c>
      <c r="BY197" t="s">
        <v>6</v>
      </c>
      <c r="BZ197" t="s">
        <v>6</v>
      </c>
      <c r="CA197" t="s">
        <v>6</v>
      </c>
    </row>
    <row r="198" spans="1:79" x14ac:dyDescent="0.2">
      <c r="A198" t="s">
        <v>308</v>
      </c>
      <c r="C198" t="s">
        <v>309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s="5">
        <v>10015.531810622793</v>
      </c>
      <c r="AR198" s="5">
        <v>9631.3190090990993</v>
      </c>
      <c r="AS198" t="s">
        <v>215</v>
      </c>
      <c r="AT198" t="s">
        <v>215</v>
      </c>
      <c r="AU198" t="s">
        <v>215</v>
      </c>
      <c r="AV198" t="s">
        <v>215</v>
      </c>
      <c r="AW198" t="s">
        <v>215</v>
      </c>
      <c r="AX198" t="s">
        <v>215</v>
      </c>
      <c r="AY198" t="s">
        <v>215</v>
      </c>
      <c r="AZ198" t="s">
        <v>215</v>
      </c>
      <c r="BA198" t="s">
        <v>215</v>
      </c>
      <c r="BB198" t="s">
        <v>215</v>
      </c>
      <c r="BC198" t="s">
        <v>215</v>
      </c>
      <c r="BD198" t="s">
        <v>215</v>
      </c>
      <c r="BE198" t="s">
        <v>215</v>
      </c>
      <c r="BF198" t="s">
        <v>215</v>
      </c>
      <c r="BG198" t="s">
        <v>215</v>
      </c>
      <c r="BH198" t="s">
        <v>215</v>
      </c>
      <c r="BI198" t="s">
        <v>215</v>
      </c>
      <c r="BJ198" t="s">
        <v>215</v>
      </c>
      <c r="BK198" t="s">
        <v>215</v>
      </c>
      <c r="BL198" t="s">
        <v>215</v>
      </c>
      <c r="BM198" t="s">
        <v>215</v>
      </c>
      <c r="BN198" t="s">
        <v>215</v>
      </c>
      <c r="BO198" t="s">
        <v>215</v>
      </c>
      <c r="BP198" t="s">
        <v>215</v>
      </c>
      <c r="BQ198" t="s">
        <v>215</v>
      </c>
      <c r="BR198" t="s">
        <v>215</v>
      </c>
      <c r="BS198" t="s">
        <v>215</v>
      </c>
      <c r="BT198" t="s">
        <v>215</v>
      </c>
      <c r="BU198" t="s">
        <v>215</v>
      </c>
      <c r="BV198" t="s">
        <v>215</v>
      </c>
      <c r="BW198" t="s">
        <v>215</v>
      </c>
      <c r="BX198" t="s">
        <v>215</v>
      </c>
      <c r="BY198" t="s">
        <v>215</v>
      </c>
      <c r="BZ198" t="s">
        <v>215</v>
      </c>
      <c r="CA198" t="s">
        <v>215</v>
      </c>
    </row>
    <row r="199" spans="1:79" x14ac:dyDescent="0.2">
      <c r="A199" t="s">
        <v>310</v>
      </c>
      <c r="C199" t="s">
        <v>311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  <c r="AI199" t="s">
        <v>6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s="7">
        <v>5945.4178560325536</v>
      </c>
      <c r="AT199" s="7">
        <v>5569.520802659109</v>
      </c>
      <c r="AU199" s="7">
        <v>5470.1665217852869</v>
      </c>
      <c r="AV199" s="7">
        <v>4734.2220379110749</v>
      </c>
      <c r="AW199" s="5">
        <v>4856.7843188813331</v>
      </c>
      <c r="AX199" s="5">
        <v>3646.9182382620716</v>
      </c>
      <c r="AY199" s="5">
        <v>3319.9967670426113</v>
      </c>
      <c r="AZ199" s="5">
        <v>4258.309368440996</v>
      </c>
      <c r="BA199" s="5">
        <v>4089.6284649222421</v>
      </c>
      <c r="BB199" s="5">
        <v>4433.6955054670889</v>
      </c>
      <c r="BC199" s="5">
        <v>5275.8267448277502</v>
      </c>
      <c r="BD199" s="5">
        <v>5606.6708574344675</v>
      </c>
      <c r="BE199" s="5">
        <v>7100.9175090983563</v>
      </c>
      <c r="BF199" s="5">
        <v>7327.1178008265369</v>
      </c>
      <c r="BG199" s="5">
        <v>5975.6723985265862</v>
      </c>
      <c r="BH199" s="5">
        <v>6142.7493733568026</v>
      </c>
      <c r="BI199" s="5">
        <v>5747.5328519671721</v>
      </c>
      <c r="BJ199" s="5">
        <v>6871.802842042408</v>
      </c>
      <c r="BK199" s="5">
        <v>6604.8354476225559</v>
      </c>
      <c r="BL199" s="5">
        <v>7555.8876079946003</v>
      </c>
      <c r="BM199" s="5">
        <v>7499.1517803606021</v>
      </c>
      <c r="BN199" s="5">
        <v>6799.8622649031013</v>
      </c>
      <c r="BO199" s="5">
        <v>6229.4307838932891</v>
      </c>
      <c r="BP199" s="5">
        <v>5731.7937301557376</v>
      </c>
      <c r="BQ199" s="5">
        <v>5514.5771025113745</v>
      </c>
      <c r="BR199" t="s">
        <v>6</v>
      </c>
      <c r="BS199" t="s">
        <v>6</v>
      </c>
      <c r="BT199" t="s">
        <v>6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  <c r="CA199" t="s">
        <v>6</v>
      </c>
    </row>
  </sheetData>
  <hyperlinks>
    <hyperlink ref="C10" location="'Footnotes'!A15" display="§4" xr:uid="{00000000-0004-0000-0400-000000000000}"/>
    <hyperlink ref="C11" location="'Footnotes'!A27" display="‡§¶16" xr:uid="{00000000-0004-0000-0400-000001000000}"/>
    <hyperlink ref="C12" location="'Footnotes'!A28" display="§17" xr:uid="{00000000-0004-0000-0400-000002000000}"/>
    <hyperlink ref="C15" location="'Footnotes'!A12" display="§‖1" xr:uid="{00000000-0004-0000-0400-000003000000}"/>
    <hyperlink ref="C22" location="'Footnotes'!A25" display="14" xr:uid="{00000000-0004-0000-0400-000004000000}"/>
    <hyperlink ref="C24" location="'Footnotes'!A26" display="§15" xr:uid="{00000000-0004-0000-0400-000005000000}"/>
    <hyperlink ref="C26" location="'Footnotes'!A29" display="18" xr:uid="{00000000-0004-0000-0400-000006000000}"/>
    <hyperlink ref="C29" location="'Footnotes'!A30" display="§‖19" xr:uid="{00000000-0004-0000-0400-000007000000}"/>
    <hyperlink ref="C31" location="'Footnotes'!A31" display="§20" xr:uid="{00000000-0004-0000-0400-000008000000}"/>
    <hyperlink ref="C32" location="'Footnotes'!A32" display="‡§21" xr:uid="{00000000-0004-0000-0400-000009000000}"/>
    <hyperlink ref="C33" location="'Footnotes'!A33" display="‖22" xr:uid="{00000000-0004-0000-0400-00000A000000}"/>
    <hyperlink ref="C34" location="'Footnotes'!A34" display="23" xr:uid="{00000000-0004-0000-0400-00000B000000}"/>
    <hyperlink ref="C35" location="'Footnotes'!A35" display="‖24" xr:uid="{00000000-0004-0000-0400-00000C000000}"/>
    <hyperlink ref="C38" location="'Footnotes'!A36" display="25" xr:uid="{00000000-0004-0000-0400-00000D000000}"/>
    <hyperlink ref="C39" location="'Footnotes'!A37" display="‖26" xr:uid="{00000000-0004-0000-0400-00000E000000}"/>
    <hyperlink ref="C44" location="'Footnotes'!A38" display="‖27" xr:uid="{00000000-0004-0000-0400-00000F000000}"/>
    <hyperlink ref="C47" location="'Footnotes'!A39" display="§28" xr:uid="{00000000-0004-0000-0400-000010000000}"/>
    <hyperlink ref="C48" location="'Footnotes'!A40" display="29" xr:uid="{00000000-0004-0000-0400-000011000000}"/>
    <hyperlink ref="C49" location="'Footnotes'!A41" display="§30" xr:uid="{00000000-0004-0000-0400-000012000000}"/>
    <hyperlink ref="C51" location="'Footnotes'!A42" display="31" xr:uid="{00000000-0004-0000-0400-000013000000}"/>
    <hyperlink ref="C52" location="'Footnotes'!A43" display="32" xr:uid="{00000000-0004-0000-0400-000014000000}"/>
    <hyperlink ref="C54" location="'Footnotes'!A44" display="33" xr:uid="{00000000-0004-0000-0400-000015000000}"/>
    <hyperlink ref="C55" location="'Footnotes'!A45" display="§‖34" xr:uid="{00000000-0004-0000-0400-000016000000}"/>
    <hyperlink ref="C56" location="'Footnotes'!A46" display="‡35" xr:uid="{00000000-0004-0000-0400-000017000000}"/>
    <hyperlink ref="C61" location="'Footnotes'!A47" display="§‖36" xr:uid="{00000000-0004-0000-0400-000018000000}"/>
    <hyperlink ref="C65" location="'Footnotes'!A48" display="37" xr:uid="{00000000-0004-0000-0400-000019000000}"/>
    <hyperlink ref="C66" location="'Footnotes'!A49" display="§38" xr:uid="{00000000-0004-0000-0400-00001A000000}"/>
    <hyperlink ref="C68" location="'Footnotes'!A50" display="39" xr:uid="{00000000-0004-0000-0400-00001B000000}"/>
    <hyperlink ref="C70" location="'Footnotes'!A51" display="§40" xr:uid="{00000000-0004-0000-0400-00001C000000}"/>
    <hyperlink ref="C71" location="'Footnotes'!A52" display="41" xr:uid="{00000000-0004-0000-0400-00001D000000}"/>
    <hyperlink ref="C74" location="'Footnotes'!A53" display="42" xr:uid="{00000000-0004-0000-0400-00001E000000}"/>
    <hyperlink ref="C75" location="'Footnotes'!A54" display="43" xr:uid="{00000000-0004-0000-0400-00001F000000}"/>
    <hyperlink ref="C79" location="'Footnotes'!A55" display="44" xr:uid="{00000000-0004-0000-0400-000020000000}"/>
    <hyperlink ref="C81" location="'Footnotes'!A16" display="5" xr:uid="{00000000-0004-0000-0400-000021000000}"/>
    <hyperlink ref="C82" location="'Footnotes'!A21" display="10" xr:uid="{00000000-0004-0000-0400-000022000000}"/>
    <hyperlink ref="C84" location="'Footnotes'!A56" display="45" xr:uid="{00000000-0004-0000-0400-000023000000}"/>
    <hyperlink ref="C85" location="'Footnotes'!A57" display="46" xr:uid="{00000000-0004-0000-0400-000024000000}"/>
    <hyperlink ref="C86" location="'Footnotes'!A58" display="47" xr:uid="{00000000-0004-0000-0400-000025000000}"/>
    <hyperlink ref="C87" location="'Footnotes'!A59" display="48" xr:uid="{00000000-0004-0000-0400-000026000000}"/>
    <hyperlink ref="C88" location="'Footnotes'!A60" display="49" xr:uid="{00000000-0004-0000-0400-000027000000}"/>
    <hyperlink ref="C89" location="'Footnotes'!A61" display="50" xr:uid="{00000000-0004-0000-0400-000028000000}"/>
    <hyperlink ref="C91" location="'Footnotes'!A62" display="‖51" xr:uid="{00000000-0004-0000-0400-000029000000}"/>
    <hyperlink ref="C95" location="'Footnotes'!A79" display="†68" xr:uid="{00000000-0004-0000-0400-00002A000000}"/>
    <hyperlink ref="C97" location="'Footnotes'!A80" display="¶69" xr:uid="{00000000-0004-0000-0400-00002B000000}"/>
    <hyperlink ref="C99" location="'Footnotes'!A13" display="2" xr:uid="{00000000-0004-0000-0400-00002C000000}"/>
    <hyperlink ref="C100" location="'Footnotes'!A20" display="9" xr:uid="{00000000-0004-0000-0400-00002D000000}"/>
    <hyperlink ref="C101" location="'Footnotes'!A70" display="59" xr:uid="{00000000-0004-0000-0400-00002E000000}"/>
    <hyperlink ref="C103" location="'Footnotes'!A71" display="60" xr:uid="{00000000-0004-0000-0400-00002F000000}"/>
    <hyperlink ref="C104" location="'Footnotes'!A72" display="61" xr:uid="{00000000-0004-0000-0400-000030000000}"/>
    <hyperlink ref="C106" location="'Footnotes'!A66" display="55" xr:uid="{00000000-0004-0000-0400-000031000000}"/>
    <hyperlink ref="C107" location="'Footnotes'!A67" display="56" xr:uid="{00000000-0004-0000-0400-000032000000}"/>
    <hyperlink ref="C108" location="'Footnotes'!A68" display="57" xr:uid="{00000000-0004-0000-0400-000033000000}"/>
    <hyperlink ref="C109" location="'Footnotes'!A69" display="58" xr:uid="{00000000-0004-0000-0400-000034000000}"/>
    <hyperlink ref="C111" location="'Footnotes'!A115" display="†¶104" xr:uid="{00000000-0004-0000-0400-000035000000}"/>
    <hyperlink ref="C113" location="'Footnotes'!A23" display="§12" xr:uid="{00000000-0004-0000-0400-000036000000}"/>
    <hyperlink ref="C115" location="'Footnotes'!A73" display="62" xr:uid="{00000000-0004-0000-0400-000037000000}"/>
    <hyperlink ref="C117" location="'Footnotes'!A74" display="63" xr:uid="{00000000-0004-0000-0400-000038000000}"/>
    <hyperlink ref="C118" location="'Footnotes'!A75" display="§¶64" xr:uid="{00000000-0004-0000-0400-000039000000}"/>
    <hyperlink ref="C119" location="'Footnotes'!A76" display="65" xr:uid="{00000000-0004-0000-0400-00003A000000}"/>
    <hyperlink ref="C122" location="'Footnotes'!A77" display="§66" xr:uid="{00000000-0004-0000-0400-00003B000000}"/>
    <hyperlink ref="C123" location="'Footnotes'!A78" display="§67" xr:uid="{00000000-0004-0000-0400-00003C000000}"/>
    <hyperlink ref="C126" location="'Footnotes'!A63" display="52" xr:uid="{00000000-0004-0000-0400-00003D000000}"/>
    <hyperlink ref="C128" location="'Footnotes'!A64" display="§53" xr:uid="{00000000-0004-0000-0400-00003E000000}"/>
    <hyperlink ref="C129" location="'Footnotes'!A65" display="§54" xr:uid="{00000000-0004-0000-0400-00003F000000}"/>
    <hyperlink ref="C132" location="'Footnotes'!A14" display="§¶3" xr:uid="{00000000-0004-0000-0400-000040000000}"/>
    <hyperlink ref="C133" location="'Footnotes'!A22" display="†§¶11" xr:uid="{00000000-0004-0000-0400-000041000000}"/>
    <hyperlink ref="C134" location="'Footnotes'!A24" display="†13" xr:uid="{00000000-0004-0000-0400-000042000000}"/>
    <hyperlink ref="C135" location="'Footnotes'!A81" display="70" xr:uid="{00000000-0004-0000-0400-000043000000}"/>
    <hyperlink ref="C136" location="'Footnotes'!A82" display="71" xr:uid="{00000000-0004-0000-0400-000044000000}"/>
    <hyperlink ref="C137" location="'Footnotes'!A83" display="72" xr:uid="{00000000-0004-0000-0400-000045000000}"/>
    <hyperlink ref="C138" location="'Footnotes'!A84" display="‖73" xr:uid="{00000000-0004-0000-0400-000046000000}"/>
    <hyperlink ref="C139" location="'Footnotes'!A85" display="74" xr:uid="{00000000-0004-0000-0400-000047000000}"/>
    <hyperlink ref="C142" location="'Footnotes'!A86" display="‖75" xr:uid="{00000000-0004-0000-0400-000048000000}"/>
    <hyperlink ref="C144" location="'Footnotes'!A88" display="†77" xr:uid="{00000000-0004-0000-0400-000049000000}"/>
    <hyperlink ref="C145" location="'Footnotes'!A87" display="76" xr:uid="{00000000-0004-0000-0400-00004A000000}"/>
    <hyperlink ref="C146" location="'Footnotes'!A89" display="78" xr:uid="{00000000-0004-0000-0400-00004B000000}"/>
    <hyperlink ref="C148" location="'Footnotes'!A90" display="79" xr:uid="{00000000-0004-0000-0400-00004C000000}"/>
    <hyperlink ref="C151" location="'Footnotes'!A91" display="80" xr:uid="{00000000-0004-0000-0400-00004D000000}"/>
    <hyperlink ref="C153" location="'Footnotes'!A17" display="†6" xr:uid="{00000000-0004-0000-0400-00004E000000}"/>
    <hyperlink ref="C154" location="'Footnotes'!A18" display="‖7" xr:uid="{00000000-0004-0000-0400-00004F000000}"/>
    <hyperlink ref="C156" location="'Footnotes'!A92" display="†§81" xr:uid="{00000000-0004-0000-0400-000050000000}"/>
    <hyperlink ref="C157" location="'Footnotes'!A93" display="†¶82" xr:uid="{00000000-0004-0000-0400-000051000000}"/>
    <hyperlink ref="C158" location="'Footnotes'!A94" display="83" xr:uid="{00000000-0004-0000-0400-000052000000}"/>
    <hyperlink ref="C159" location="'Footnotes'!A95" display="84" xr:uid="{00000000-0004-0000-0400-000053000000}"/>
    <hyperlink ref="C166" location="'Footnotes'!A96" display="85" xr:uid="{00000000-0004-0000-0400-000054000000}"/>
    <hyperlink ref="C167" location="'Footnotes'!A112" display="101" xr:uid="{00000000-0004-0000-0400-000055000000}"/>
    <hyperlink ref="C170" location="'Footnotes'!A97" display="86" xr:uid="{00000000-0004-0000-0400-000056000000}"/>
    <hyperlink ref="C172" location="'Footnotes'!A98" display="87" xr:uid="{00000000-0004-0000-0400-000057000000}"/>
    <hyperlink ref="C173" location="'Footnotes'!A99" display="88" xr:uid="{00000000-0004-0000-0400-000058000000}"/>
    <hyperlink ref="C178" location="'Footnotes'!A100" display="89" xr:uid="{00000000-0004-0000-0400-000059000000}"/>
    <hyperlink ref="C180" location="'Footnotes'!A101" display="†¶90" xr:uid="{00000000-0004-0000-0400-00005A000000}"/>
    <hyperlink ref="C181" location="'Footnotes'!A102" display="91" xr:uid="{00000000-0004-0000-0400-00005B000000}"/>
    <hyperlink ref="C182" location="'Footnotes'!A114" display="†¶103" xr:uid="{00000000-0004-0000-0400-00005C000000}"/>
    <hyperlink ref="C184" location="'Footnotes'!A19" display="8" xr:uid="{00000000-0004-0000-0400-00005D000000}"/>
    <hyperlink ref="C186" location="'Footnotes'!A103" display="92" xr:uid="{00000000-0004-0000-0400-00005E000000}"/>
    <hyperlink ref="C187" location="'Footnotes'!A104" display="§¶93" xr:uid="{00000000-0004-0000-0400-00005F000000}"/>
    <hyperlink ref="C188" location="'Footnotes'!A105" display="94" xr:uid="{00000000-0004-0000-0400-000060000000}"/>
    <hyperlink ref="C190" location="'Footnotes'!A106" display="95" xr:uid="{00000000-0004-0000-0400-000061000000}"/>
    <hyperlink ref="C192" location="'Footnotes'!A107" display="‡96" xr:uid="{00000000-0004-0000-0400-000062000000}"/>
    <hyperlink ref="C193" location="'Footnotes'!A113" display="§102" xr:uid="{00000000-0004-0000-0400-000063000000}"/>
    <hyperlink ref="C194" location="'Footnotes'!A108" display="97" xr:uid="{00000000-0004-0000-0400-000064000000}"/>
    <hyperlink ref="C197" location="'Footnotes'!A109" display="§98" xr:uid="{00000000-0004-0000-0400-000065000000}"/>
    <hyperlink ref="C198" location="'Footnotes'!A111" display="§100" xr:uid="{00000000-0004-0000-0400-000066000000}"/>
    <hyperlink ref="C199" location="'Footnotes'!A110" display="§99" xr:uid="{00000000-0004-0000-0400-000067000000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04D29-42A4-4347-A846-E63438F7F6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Constant (2023) US$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Maryam  Nainar</cp:lastModifiedBy>
  <dcterms:created xsi:type="dcterms:W3CDTF">2025-04-24T06:58:37Z</dcterms:created>
  <dcterms:modified xsi:type="dcterms:W3CDTF">2026-03-21T18:43:44Z</dcterms:modified>
</cp:coreProperties>
</file>